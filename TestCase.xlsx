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Case List " sheetId="2" r:id="rId5"/>
    <sheet state="visible" name="Module1" sheetId="3" r:id="rId6"/>
    <sheet state="visible" name="Module2" sheetId="4" r:id="rId7"/>
    <sheet state="visible" name="Module 3 Đơn hàng" sheetId="5" r:id="rId8"/>
    <sheet state="visible" name="Trang tính6" sheetId="6" r:id="rId9"/>
    <sheet state="visible" name="Test Report" sheetId="7" r:id="rId10"/>
  </sheets>
  <definedNames/>
  <calcPr/>
</workbook>
</file>

<file path=xl/sharedStrings.xml><?xml version="1.0" encoding="utf-8"?>
<sst xmlns="http://schemas.openxmlformats.org/spreadsheetml/2006/main" count="316" uniqueCount="219">
  <si>
    <t>SGU</t>
  </si>
  <si>
    <t>TEST CASE</t>
  </si>
  <si>
    <t>Project Name</t>
  </si>
  <si>
    <t>Cake Fantasy Website</t>
  </si>
  <si>
    <t>Creator</t>
  </si>
  <si>
    <t>Hứa Lập Thành, Trần Diệp Bảo Huy, Mã Văn Khải, Nguyễn Vũ Quang Minh</t>
  </si>
  <si>
    <t>Project Code</t>
  </si>
  <si>
    <t>CF-WEB-TEST</t>
  </si>
  <si>
    <t>Reviewer/Approver</t>
  </si>
  <si>
    <t>Document Code</t>
  </si>
  <si>
    <t>CF-WEB-TEST_XXX_v1.0</t>
  </si>
  <si>
    <t>Issue Date</t>
  </si>
  <si>
    <t>Version</t>
  </si>
  <si>
    <t>Record of change</t>
  </si>
  <si>
    <t>Effective Date</t>
  </si>
  <si>
    <t>Change Item</t>
  </si>
  <si>
    <t>*A,D,M</t>
  </si>
  <si>
    <t>Change description</t>
  </si>
  <si>
    <t>Reference</t>
  </si>
  <si>
    <t>1.0</t>
  </si>
  <si>
    <t>A (Add)</t>
  </si>
  <si>
    <t>A</t>
  </si>
  <si>
    <t>Initial 47 test cases imported by template</t>
  </si>
  <si>
    <t>Jest + Vitest test scripts</t>
  </si>
  <si>
    <t>TEST CASE LIST</t>
  </si>
  <si>
    <t>UniCLub</t>
  </si>
  <si>
    <t>Test Environment Setup Description</t>
  </si>
  <si>
    <t>&lt;List enviroment requires in this system
 1. Server
 2. Database
 3. Web Browser
 ...
 &gt;</t>
  </si>
  <si>
    <t>No</t>
  </si>
  <si>
    <t>Function Name</t>
  </si>
  <si>
    <t>Sheet Name</t>
  </si>
  <si>
    <t>Description</t>
  </si>
  <si>
    <t>Pre-Condition</t>
  </si>
  <si>
    <t>Người dùng tìm kiếm hàng</t>
  </si>
  <si>
    <t>Module1</t>
  </si>
  <si>
    <t>Tìm kiếm sản phẩm (dựa trên product.name, product.description và lọc (theo category , brand , color, size).</t>
  </si>
  <si>
    <t>API hoạt động.Có dữ liệu trong bảng product.</t>
  </si>
  <si>
    <t>Giỏ hàng</t>
  </si>
  <si>
    <t>Module2</t>
  </si>
  <si>
    <t>Quản lý cart và cart_item****Thêm/sửa/xóa các variant khỏi giỏ hàng.</t>
  </si>
  <si>
    <t>User đã đăng nhập (để liên kết cart.id_user).</t>
  </si>
  <si>
    <t>Đơn hàng</t>
  </si>
  <si>
    <t>Module3</t>
  </si>
  <si>
    <t>Tạo orders , lưu chi tiết order_variant, billing_detailvà thông tin payment.</t>
  </si>
  <si>
    <t>User đã đăng nhập. Có sản phẩm  để thanh toán.</t>
  </si>
  <si>
    <t>Phân quyền</t>
  </si>
  <si>
    <t>Module4</t>
  </si>
  <si>
    <t>Xác thực quyền truy cập dựa trên user.id_role và bảng role</t>
  </si>
  <si>
    <t>User đã đăng nhập.Bảng role có dữ liệu.</t>
  </si>
  <si>
    <t>Module Code</t>
  </si>
  <si>
    <t>Test requirement</t>
  </si>
  <si>
    <t>Kiểm thử chức năng tìm kiếm và lọc sản phẩm.</t>
  </si>
  <si>
    <t>Tester</t>
  </si>
  <si>
    <t>Pass</t>
  </si>
  <si>
    <t>Fail</t>
  </si>
  <si>
    <t>Untested</t>
  </si>
  <si>
    <t>N/A</t>
  </si>
  <si>
    <t>Number of Test cases</t>
  </si>
  <si>
    <t>ID</t>
  </si>
  <si>
    <t>Test Case Description</t>
  </si>
  <si>
    <t>Test Case Procedure</t>
  </si>
  <si>
    <t>Expected Output</t>
  </si>
  <si>
    <t>Inter-test case Dependence</t>
  </si>
  <si>
    <t>Result</t>
  </si>
  <si>
    <t>Test date</t>
  </si>
  <si>
    <t>Note</t>
  </si>
  <si>
    <t>M1-01</t>
  </si>
  <si>
    <t>Tìm kiếm theo tên sản phẩm chính xác</t>
  </si>
  <si>
    <t>1. Nhập tên sản phẩm "Áo Polo" vào thanh tìm kiếm.
2. Nhấn Enter/nút tìm kiếm.</t>
  </si>
  <si>
    <t>Hiển thị danh sách các sản phẩm có product.
name chính xác là "Áo Polo"</t>
  </si>
  <si>
    <t>M1-02</t>
  </si>
  <si>
    <t>Tìm kiếm theo tên sản phẩm (một phần)</t>
  </si>
  <si>
    <t>1. Nhập "Polo" vào thanh tìm kiếm.
2. Nhấn Enter/nút tìm kiếm.</t>
  </si>
  <si>
    <t>Hiển thị các sản phẩm có product.name chứa "Polo".</t>
  </si>
  <si>
    <t>pass</t>
  </si>
  <si>
    <t>M1-03</t>
  </si>
  <si>
    <t>Tìm kiếm theo mô tả sản phẩm</t>
  </si>
  <si>
    <t>1. Nhập một từ khóa trong product.description (ví dụ: "cotton").
2. Nhấn tìm kiếm.</t>
  </si>
  <si>
    <t>Hiển thị các sản phẩm có product.description chứa "cotton".</t>
  </si>
  <si>
    <t>fails</t>
  </si>
  <si>
    <t>M1-04</t>
  </si>
  <si>
    <t>Tìm kiếm không có kết quả</t>
  </si>
  <si>
    <t>1. Nhập một chuỗi ngẫu nhiên (ví dụ: "xyz123abc").
2. Nhấn tìm kiếm.</t>
  </si>
  <si>
    <t>Hiển thị thông báo "Không tìm thấy sản phẩm nào".</t>
  </si>
  <si>
    <t>M1-05</t>
  </si>
  <si>
    <t>Lọc sản phẩm theo Danh mục (Category)</t>
  </si>
  <si>
    <t>1. Vào trang danh sách sản phẩm.
2. Chọn bộ lọc Category, ví dụ "Áo Thun".</t>
  </si>
  <si>
    <t>Chỉ hiển thị các sản phẩm có product.id_category tương ứng.</t>
  </si>
  <si>
    <t>M1-06</t>
  </si>
  <si>
    <t>Lọc sản phẩm theo Thương hiệu (Brand)</t>
  </si>
  <si>
    <t>1. Vào trang danh sách sản phẩm.
2. Chọn bộ lọc Brand, ví dụ "Nike".</t>
  </si>
  <si>
    <t>Chỉ hiển thị các sản phẩm có product.id_brand tương ứng.</t>
  </si>
  <si>
    <t>M1-07</t>
  </si>
  <si>
    <t>Lọc sản phẩm theo Màu sắc (Color)</t>
  </si>
  <si>
    <t>1. Vào trang danh sách sản phẩm.
2. Chọn bộ lọc Color, ví dụ "Trắng".</t>
  </si>
  <si>
    <t>Chỉ hiển thị các sản phẩm có variant với id_color tương ứng.</t>
  </si>
  <si>
    <t>M1-08</t>
  </si>
  <si>
    <t>Lọc sản phẩm theo Kích thước (Size)</t>
  </si>
  <si>
    <t>1. Vào trang danh sách sản phẩm.
2. Chọn bộ lọc Size, ví dụ "L".</t>
  </si>
  <si>
    <t>Chỉ hiển thị các sản phẩm có variant với id_size tương ứng.</t>
  </si>
  <si>
    <t>M1-09</t>
  </si>
  <si>
    <t>Kết hợp tìm kiếm và lọc</t>
  </si>
  <si>
    <t>1. Tìm kiếm với từ khóa "Áo".
2. Áp dụng bộ lọc Category "Áo Thun" và Color "Đen".</t>
  </si>
  <si>
    <t>Hiển thị sản phẩm tên "Áo", thuộc "Áo Thun" và có variant màu "Đen".</t>
  </si>
  <si>
    <t xml:space="preserve"> </t>
  </si>
  <si>
    <t>&lt;Brief description about requirements which are tested in this sheet&gt;</t>
  </si>
  <si>
    <t>Test data</t>
  </si>
  <si>
    <t>M2-01</t>
  </si>
  <si>
    <t>Thêm sản phẩm còn hàng vào giỏ hàng</t>
  </si>
  <si>
    <t>1. Đăng nhập với vai trò Buyer.
2. Đi đến trang chi tiết sản phẩm.
3. Chọn 1 biến thể (variant) còn hàng.
4. Nhấn nút "Mua ngay".
5. Di chuyển đến trang Giỏ hàng.</t>
  </si>
  <si>
    <t>1. Sản phẩm được thêm thành công vào giỏ hàng.
2. Số lượng sản phẩm trong giỏ hàng là 1.
3. Tổng chi phí được tính toán chính xác.</t>
  </si>
  <si>
    <t>Dữ liệu (Bảng Variant) có variant.sku = 'SKU_CON_HANG' và quantity &gt; 0.</t>
  </si>
  <si>
    <t>M2-02</t>
  </si>
  <si>
    <t>Kiểm tra hiển thị khi sản phẩm hết hàng</t>
  </si>
  <si>
    <t>1. Đăng nhập với vai trò Buyer.
2. Đi đến trang chi tiết sản phẩm đã hết hàng.</t>
  </si>
  <si>
    <t>1. Biến thể sản phẩm bị làm mờ.
2. Nút "Thêm vào giỏ" bị vô hiệu hóa (disabled).</t>
  </si>
  <si>
    <t>Dữ liệu (Bảng Variant) có variant.sku = 'SKU_HET_HANG' và quantity = 0.</t>
  </si>
  <si>
    <t>M2-03</t>
  </si>
  <si>
    <t>Cập nhật tăng số lượng sản phẩm trong giỏ hàng</t>
  </si>
  <si>
    <t>1. Đăng nhập (Buyer đã có sản phẩm A trong giỏ với số lượng 1).
2. Đi đến trang Giỏ hàng.
3. Tăng số lượng sản phẩm A lên 2.</t>
  </si>
  <si>
    <t>1. Số lượng của sản phẩm A cập nhật thành 2.
2. Tổng chi phí sản phẩm A và tổng chi phí giỏ hàng được tính toán lại chính xác.</t>
  </si>
  <si>
    <t>Sản phẩm A (trong TestData-SC01) phải có quantity &gt; 1. Buyer đã có 1 sản phẩm A trong giỏ.</t>
  </si>
  <si>
    <t>M2-04</t>
  </si>
  <si>
    <t>Thêm sản phẩm vào giỏ hàng khi chưa đăng nhập</t>
  </si>
  <si>
    <t>1. Truy cập trang web với tư cách khách (Guest).
2. Đi đến trang chi tiết sản phẩm.
3. Nhấn nút "Mua ngay".</t>
  </si>
  <si>
    <t>1. Hệ thống điều hướng đến trang Đăng nhập / Đăng ký.
2. Sản phẩm không được thêm vào giỏ hàng.</t>
  </si>
  <si>
    <t>Không yêu cầu dữ liệu cụ thể, chỉ cần trạng thái chưa đăng nhập.</t>
  </si>
  <si>
    <t>M2-05</t>
  </si>
  <si>
    <t>Cập nhật số lượng vượt quá tồn kho</t>
  </si>
  <si>
    <t>1. Đăng nhập (Buyer đã có sản phẩm A, tồn kho 5, trong giỏ với số lượng 4).
2. Đi đến trang Giỏ hàng.
3. Cố gắng tăng số lượng sản phẩm A lên 6.</t>
  </si>
  <si>
    <t>1. Hệ thống hiển thị cảnh báo "Số lượng vượt quá tồn kho".
2. Số lượng sản phẩm A tự động giới hạn ở mức 5.
3. Tổng chi phí được tính theo số lượng 5.</t>
  </si>
  <si>
    <t>Dữ liệu (Bảng Variant) có variant.sku = 'SKU_TON_KHO_5' và quantity = 5. Buyer đã có 4 sản phẩm này trong giỏ.</t>
  </si>
  <si>
    <t>M2-06</t>
  </si>
  <si>
    <t>Xóa một sản phẩm ra khỏi giỏ hàng</t>
  </si>
  <si>
    <t>1. Đăng nhập (Buyer đã có sản phẩm A và B trong giỏ).
2. Đi đến trang Giỏ hàng.
3. Nhấn nút "Xóa" (icon thùng rác) bên cạnh sản phẩm A.</t>
  </si>
  <si>
    <t>1. Sản phẩm A bị xóa khỏi giỏ hàng.
2. Sản phẩm B vẫn còn trong giỏ.
3. Tổng chi phí giỏ hàng được tính toán lại chính xác (chỉ tính sản phẩm B).</t>
  </si>
  <si>
    <t>Buyer đã có 2 sản phẩm 
khác nhau (A, B) trong giỏ.</t>
  </si>
  <si>
    <t>M2-07</t>
  </si>
  <si>
    <t>Cập nhật giảm số lượng sản phẩm trong giỏ hàng</t>
  </si>
  <si>
    <t>1. Đăng nhập (Buyer đã có sản phẩm A trong giỏ với số lượng 3).
2. Đi đến trang Giỏ hàng.
3. Giảm số lượng sản phẩm A xuống còn 1.</t>
  </si>
  <si>
    <t>1. Số lượng của sản phẩm A cập nhật thành 1.
2. Tổng chi phí sản phẩm A và tổng chi phí giỏ hàng được tính toán lại chính xác.</t>
  </si>
  <si>
    <t>Sản phẩm A (trong TestData-SC01) phải có quantity &gt; 1
 Buyer đã có 3 sản phẩm A trong giỏ.</t>
  </si>
  <si>
    <t>M2-08</t>
  </si>
  <si>
    <t>Xóa sản phẩm cuối cùng khỏi giỏ hàng</t>
  </si>
  <si>
    <t>1. Đăng nhập (Buyer chỉ có 1 sản phẩm A (SL=1) trong giỏ).
2. Đi đến trang Giỏ hàng.
3. Nhấn nút "Xóa" bên cạnh sản phẩm A.</t>
  </si>
  <si>
    <t>1. Giỏ hàng trở nên rỗng.
2. Hiển thị thông báo "Giỏ hàng của bạn đang rỗng" hoặc tương tự.
3. Tổng chi phí hiển thị là 0.</t>
  </si>
  <si>
    <t>Buyer chỉ có 1 sản 
phẩm duy nhất trong giỏ.</t>
  </si>
  <si>
    <t>M2-09</t>
  </si>
  <si>
    <t>Cập nhật số lượng bằng giá trị không hợp lệ (âm, chữ)</t>
  </si>
  <si>
    <t>1. Đăng nhập (Buyer có sản phẩm A trong giỏ).
2. Đi đến trang Giỏ hàng.
3. Thử nhập "-1" vào ô số lượng của sản phẩm A.
4. Thử nhập "abc" vào ô số lượng.</t>
  </si>
  <si>
    <t>1. Hệ thống không cho nhập số lượng.
2. Số lượng sản phẩm A không đổi (vẫn giữ giá trị cũ).
3. Tổng chi phí không thay đổi.</t>
  </si>
  <si>
    <t>Buyer có 
sản phẩm A trong giỏ.</t>
  </si>
  <si>
    <t>M2-10</t>
  </si>
  <si>
    <t>Kiểm tra tính nhất quán (persistence) của giỏ hàng sau khi đăng xuất</t>
  </si>
  <si>
    <t>1. Đăng nhập (Buyer).
2. Thêm sản phẩm A (SL=2) vào giỏ hàng.
3. Đăng xuất.
4. Đăng nhập lại với cùng tài khoản Buyer.
5. Đi đến trang Giỏ hàng.</t>
  </si>
  <si>
    <t>1. Sản phẩm A (SL=2) vẫn còn trong giỏ hàng.
2. Tổng chi phí hiển thị chính xác.</t>
  </si>
  <si>
    <t>Tài khoản Buyer.
Sản phẩm A còn hàng.</t>
  </si>
  <si>
    <t>M2-11</t>
  </si>
  <si>
    <t>Kiểm tra giỏ hàng khi sản phẩm trong giỏ bị hết hàng (do người khác mua)</t>
  </si>
  <si>
    <t>1. Đăng nhập (Buyer A), thêm sản phẩm X (tồn kho 5) vào giỏ với SL=3.
2. Đăng nhập (Buyer B) trên trình duyệt khác, mua và thanh toán 4 sản phẩm X (tồn kho còn 1).
3. Buyer A quay lại trang Giỏ hàng và tải lại trang.</t>
  </si>
  <si>
    <t>1. Hệ thống hiển thị cảnh báo "Số lượng vượt quá tồn kho" tại sản phẩm X.
2. Số lượng sản phẩm X tự động giới hạn ở mức 1 (tồn kho còn lại).
3. Tổng chi phí được tính lại theo số lượng 1.</t>
  </si>
  <si>
    <t>Sản phẩm X có tồn kho (quantity) = 5
. Hai tài khoản Buyer A và B.</t>
  </si>
  <si>
    <t>X</t>
  </si>
  <si>
    <t>M2-12</t>
  </si>
  <si>
    <t>Kiểm tra phí vận chuyển</t>
  </si>
  <si>
    <t>1. Thêm sản phẩm để tổng đơn &lt; 499k.
2. Thêm tiếp để tổng đơn &gt;= 499k.</t>
  </si>
  <si>
    <t>1. Mốc freeship: 499.000đ</t>
  </si>
  <si>
    <t>- Dưới 499k: Phí ship 30.000đ.
- Trên 499k: Phí ship "Miễn phí".</t>
  </si>
  <si>
    <t>Kiểm thử quy trình checkout: tạo orders, order_variant, billing_detail, và payment.</t>
  </si>
  <si>
    <t>M3-01</t>
  </si>
  <si>
    <t>Tạo đơn hàng thành công (thanh toán COD)</t>
  </si>
  <si>
    <t>1. Tiến hành thanh toán (checkout).
2. Điền đầy đủ thông tin billing_detail.
3. Chọn phương thức payment_method = 'COD'.
4. Nhấn "Đặt hàng".
2. Nhấn Enter/nút tìm kiếm.</t>
  </si>
  <si>
    <t>1. Tạo orders (status 'PENDING').
2. Tạo billing_detail (liên kết id_order).
3. Tạo payment (method 'COD', status 'PENDING').
4. Chuyển cart_items thành order_variants.
5. Giỏ hàng (cart) được dọn sạch.
6. variant.quantity bị trừ đi.
name chính xác là "Áo Polo"</t>
  </si>
  <si>
    <t>M3-02</t>
  </si>
  <si>
    <t>Tạo đơn hàng thành công (thanh toán VNPay)</t>
  </si>
  <si>
    <t>1. Tiến hành thanh toán (checkout).
2. Điền đầy đủ thông tin billing_detail.
3. Chọn phương thức payment_method = 'VnPay'.
4. Nhấn "Đặt hàng".
2. Nhấn Enter/nút tìm kiếm.2. Nhấn Enter/nút tìm kiếm.</t>
  </si>
  <si>
    <t>1. Tạo các record orders, billing_detail, order_variant.
2. Tạo payment (method 'VNPay', status 'PENDING').
3. Redirect người dùng sang cổng VNPay</t>
  </si>
  <si>
    <t>M3-03</t>
  </si>
  <si>
    <t>Tạo đơn hàng với giỏ hàng rỗng</t>
  </si>
  <si>
    <t xml:space="preserve">1. Đăng nhập.
2. Giỏ hàng rỗng.
3. Cố gắng truy cập trang checkout.
</t>
  </si>
  <si>
    <t>Hiển thị lỗi "Giỏ hàng của bạn đang rỗng"</t>
  </si>
  <si>
    <t>M3-04</t>
  </si>
  <si>
    <t>Tạo đơn hàng thiếu thông tin billing</t>
  </si>
  <si>
    <t xml:space="preserve">1. Tới trang checkout.
2. Cố tình bỏ trống billing_detail.phone.
3. Nhấn "Đặt hàng".
</t>
  </si>
  <si>
    <t>Hiển thị lỗi validation (ví dụ: "Vui lòng nhập số điện thoại").
Không tạo orders.</t>
  </si>
  <si>
    <t>M3-05</t>
  </si>
  <si>
    <t>Tạo đơn hàng khi sản phẩm hết hàng (Race Condition)</t>
  </si>
  <si>
    <t>1. User A có sản phẩm X (tồn kho = 1) trong giỏ.
2. User B mua và hoàn tất thanh toán sản phẩm X.
3. User A nhấn "Đặt hàng".</t>
  </si>
  <si>
    <t>Hiển thị lỗi "Sản phẩm X đã hết hàng".
không cho thêm vào giỏ hàng</t>
  </si>
  <si>
    <t>M3-06</t>
  </si>
  <si>
    <t>Hủy đơn hàng (User)</t>
  </si>
  <si>
    <t>1. Vào trang "Đơn hàng của tôi".
2. Chọn 1 đơn hàng (từ M3-01) có status 'PENDING'.
4. Nhấn nút "Hủy đơn".</t>
  </si>
  <si>
    <t>orders.status cập nhật thành 'CANCELLED'.
variant.quantity được cộng trả lại.</t>
  </si>
  <si>
    <t>M4-01</t>
  </si>
  <si>
    <t>[Quan trọng] User dùng token của mình để gọi API của Admin.</t>
  </si>
  <si>
    <t>1. Đăng nhập vào web/URL của User  với tài khoản role 'User'.  
2. Lấy Token/Session .  
3. Dùng Postman, gọi 1 API của Admin  
4. Đính kèm Token của 'User' vào Header.</t>
  </si>
  <si>
    <t>API trả về lỗi 403 Forbidden (Không có quyền) hoặc 401 Unauthorized.  Tuyệt đối không được trả về 200 OK.</t>
  </si>
  <si>
    <t>Security Test</t>
  </si>
  <si>
    <t>Admin dùng token của mình để gọi API của Admin.</t>
  </si>
  <si>
    <t>1. Đăng nhập vào app/URL của Admin với tài khoản role 'Admin'.  
2. Lấy Token/Session.  
3. Dùng Postman, gọi API GET .  
4. Đính kèm Token của 'Admin' vào Header.</t>
  </si>
  <si>
    <t>API trả về 200 OK và danh sách người dùng.</t>
  </si>
  <si>
    <t>Sanity Test</t>
  </si>
  <si>
    <t>TEST REPORT</t>
  </si>
  <si>
    <t>&lt;Project Name&gt;</t>
  </si>
  <si>
    <t>&lt;Project Code&gt;</t>
  </si>
  <si>
    <t>&lt;Project Code&gt;_Test Report_vx.x</t>
  </si>
  <si>
    <t>&lt;Date when this test report is created&gt;</t>
  </si>
  <si>
    <t>Notes</t>
  </si>
  <si>
    <t>&lt;List modules included in this release&gt; ex: Release 1 includes 2 modules: Module1 and Module2</t>
  </si>
  <si>
    <t>Module code</t>
  </si>
  <si>
    <t>Number of test cases</t>
  </si>
  <si>
    <t>Module5</t>
  </si>
  <si>
    <t>Module6</t>
  </si>
  <si>
    <t>Sub total</t>
  </si>
  <si>
    <t>Test coverage</t>
  </si>
  <si>
    <t>100.00</t>
  </si>
  <si>
    <t>%</t>
  </si>
  <si>
    <t>Test successful coverage</t>
  </si>
  <si>
    <t>65.96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</si>
</sst>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29">
    <font>
      <sz val="10.0"/>
      <color rgb="FF000000"/>
      <name val="Arial"/>
      <scheme val="minor"/>
    </font>
    <font>
      <b/>
      <sz val="26.0"/>
      <color rgb="FFFF0000"/>
      <name val="Tahoma"/>
    </font>
    <font>
      <b/>
      <sz val="20.0"/>
      <color rgb="FF000000"/>
      <name val="Tahoma"/>
    </font>
    <font/>
    <font>
      <b/>
      <color rgb="FF993300"/>
      <name val="Tahoma"/>
    </font>
    <font>
      <i/>
      <color rgb="FF008000"/>
      <name val="Tahoma"/>
    </font>
    <font>
      <color rgb="FF000000"/>
      <name val="Tahoma"/>
    </font>
    <font>
      <b/>
      <color rgb="FFFFFFFF"/>
      <name val="Tahoma"/>
    </font>
    <font>
      <b/>
      <sz val="11.0"/>
      <color rgb="FF000000"/>
      <name val="Tahoma"/>
    </font>
    <font>
      <b/>
      <color rgb="FFFF0000"/>
      <name val="Tahoma"/>
    </font>
    <font>
      <sz val="11.0"/>
      <color rgb="FF1B1C1D"/>
      <name val="Times New Roman"/>
    </font>
    <font>
      <color rgb="FF1B1C1D"/>
      <name val="&quot;Google Sans Text&quot;"/>
    </font>
    <font>
      <sz val="11.0"/>
      <color rgb="FF1B1C1D"/>
      <name val="Arial"/>
    </font>
    <font>
      <b/>
      <sz val="11.0"/>
      <color rgb="FF1B1C1D"/>
      <name val="Arial"/>
    </font>
    <font>
      <b/>
      <color rgb="FF000000"/>
      <name val="Tahoma"/>
    </font>
    <font>
      <sz val="11.0"/>
      <color rgb="FF000000"/>
      <name val="Tahoma"/>
    </font>
    <font>
      <color theme="1"/>
      <name val="Arial"/>
      <scheme val="minor"/>
    </font>
    <font>
      <sz val="11.0"/>
      <color theme="1"/>
      <name val="MS PGothic"/>
    </font>
    <font>
      <b/>
      <color theme="1"/>
      <name val="Tahoma"/>
    </font>
    <font>
      <color theme="1"/>
      <name val="Tahoma"/>
    </font>
    <font>
      <sz val="12.0"/>
      <color theme="1"/>
      <name val="Times New Roman"/>
    </font>
    <font>
      <sz val="12.0"/>
      <color theme="1"/>
      <name val="Arial"/>
      <scheme val="minor"/>
    </font>
    <font>
      <sz val="12.0"/>
      <color rgb="FF1B1C1D"/>
      <name val="Arial"/>
      <scheme val="minor"/>
    </font>
    <font>
      <sz val="12.0"/>
      <color rgb="FF1B1C1D"/>
      <name val="Arial"/>
    </font>
    <font>
      <sz val="12.0"/>
      <color rgb="FF000000"/>
      <name val="Arial"/>
    </font>
    <font>
      <color theme="1"/>
      <name val="Arial"/>
    </font>
    <font>
      <sz val="11.0"/>
      <color rgb="FF000000"/>
      <name val="&quot;MS PGothic&quot;"/>
    </font>
    <font>
      <color rgb="FFFFFFFF"/>
      <name val="Tahoma"/>
    </font>
    <font>
      <b/>
      <color rgb="FF0000FF"/>
      <name val="Tahoma"/>
    </font>
  </fonts>
  <fills count="6">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theme="0"/>
        <bgColor theme="0"/>
      </patternFill>
    </fill>
  </fills>
  <borders count="3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left style="thin">
        <color rgb="FF000000"/>
      </left>
    </border>
    <border>
      <right style="thin">
        <color rgb="FF000000"/>
      </right>
    </border>
    <border>
      <left/>
      <right/>
      <top/>
      <bottom style="medium">
        <color rgb="FF000000"/>
      </bottom>
    </border>
    <border>
      <left/>
      <right/>
      <top/>
      <bottom/>
    </border>
    <border>
      <left style="medium">
        <color rgb="FF000000"/>
      </left>
      <right style="thin">
        <color rgb="FF000000"/>
      </right>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style="medium">
        <color rgb="FF000000"/>
      </right>
      <top/>
      <bottom style="thin">
        <color rgb="FF000000"/>
      </bottom>
    </border>
    <border>
      <left style="thin">
        <color rgb="FF000000"/>
      </left>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right/>
      <top/>
      <bottom/>
    </border>
    <border>
      <left/>
      <right/>
      <bottom/>
    </border>
  </borders>
  <cellStyleXfs count="1">
    <xf borderId="0" fillId="0" fontId="0" numFmtId="0" applyAlignment="1" applyFont="1"/>
  </cellStyleXfs>
  <cellXfs count="163">
    <xf borderId="0" fillId="0" fontId="0" numFmtId="0" xfId="0" applyAlignment="1" applyFont="1">
      <alignment readingOrder="0" shrinkToFit="0" vertical="bottom" wrapText="0"/>
    </xf>
    <xf borderId="1" fillId="0" fontId="1" numFmtId="0" xfId="0" applyAlignment="1" applyBorder="1" applyFont="1">
      <alignment horizontal="center" readingOrder="0" shrinkToFit="0" wrapText="0"/>
    </xf>
    <xf borderId="1" fillId="0" fontId="2" numFmtId="0" xfId="0" applyAlignment="1" applyBorder="1" applyFont="1">
      <alignment horizontal="center" readingOrder="0" shrinkToFit="0" wrapText="0"/>
    </xf>
    <xf borderId="2" fillId="0" fontId="3" numFmtId="0" xfId="0" applyBorder="1" applyFont="1"/>
    <xf borderId="3" fillId="0" fontId="3" numFmtId="0" xfId="0" applyBorder="1" applyFont="1"/>
    <xf borderId="0" fillId="2" fontId="4" numFmtId="0" xfId="0" applyAlignment="1" applyFill="1" applyFont="1">
      <alignment horizontal="left" shrinkToFit="0" vertical="bottom" wrapText="0"/>
    </xf>
    <xf borderId="0" fillId="0" fontId="5" numFmtId="0" xfId="0" applyAlignment="1" applyFont="1">
      <alignment horizontal="left" shrinkToFit="0" vertical="bottom" wrapText="0"/>
    </xf>
    <xf borderId="0" fillId="0" fontId="6" numFmtId="0" xfId="0" applyAlignment="1" applyFont="1">
      <alignment shrinkToFit="0" vertical="bottom" wrapText="0"/>
    </xf>
    <xf borderId="0" fillId="2" fontId="6" numFmtId="0" xfId="0" applyAlignment="1" applyFont="1">
      <alignment shrinkToFit="0" vertical="bottom" wrapText="0"/>
    </xf>
    <xf borderId="4" fillId="2" fontId="4" numFmtId="0" xfId="0" applyAlignment="1" applyBorder="1" applyFont="1">
      <alignment horizontal="left" readingOrder="0" shrinkToFit="0" vertical="bottom" wrapText="0"/>
    </xf>
    <xf borderId="2" fillId="0" fontId="5" numFmtId="0" xfId="0" applyAlignment="1" applyBorder="1" applyFont="1">
      <alignment horizontal="left" readingOrder="0" shrinkToFit="0" vertical="bottom" wrapText="0"/>
    </xf>
    <xf borderId="3" fillId="0" fontId="6" numFmtId="0" xfId="0" applyAlignment="1" applyBorder="1" applyFont="1">
      <alignment readingOrder="0" shrinkToFit="0" vertical="bottom" wrapText="0"/>
    </xf>
    <xf borderId="5" fillId="0" fontId="6" numFmtId="0" xfId="0" applyAlignment="1" applyBorder="1" applyFont="1">
      <alignment shrinkToFit="0" vertical="bottom" wrapText="0"/>
    </xf>
    <xf borderId="6" fillId="2" fontId="4" numFmtId="0" xfId="0" applyAlignment="1" applyBorder="1" applyFont="1">
      <alignment horizontal="left" readingOrder="0" shrinkToFit="0" wrapText="0"/>
    </xf>
    <xf borderId="7" fillId="0" fontId="5" numFmtId="0" xfId="0" applyAlignment="1" applyBorder="1" applyFont="1">
      <alignment horizontal="left" readingOrder="0" shrinkToFit="0" wrapText="0"/>
    </xf>
    <xf borderId="8" fillId="0" fontId="3" numFmtId="0" xfId="0" applyBorder="1" applyFont="1"/>
    <xf borderId="9" fillId="0" fontId="3" numFmtId="0" xfId="0" applyBorder="1" applyFont="1"/>
    <xf borderId="5" fillId="0" fontId="5" numFmtId="164" xfId="0" applyAlignment="1" applyBorder="1" applyFont="1" applyNumberFormat="1">
      <alignment horizontal="left" readingOrder="0" shrinkToFit="0" vertical="bottom" wrapText="0"/>
    </xf>
    <xf borderId="10" fillId="0" fontId="3" numFmtId="0" xfId="0" applyBorder="1" applyFont="1"/>
    <xf borderId="11" fillId="0" fontId="3" numFmtId="0" xfId="0" applyBorder="1" applyFont="1"/>
    <xf borderId="12" fillId="0" fontId="3" numFmtId="0" xfId="0" applyBorder="1" applyFont="1"/>
    <xf borderId="5" fillId="0" fontId="3" numFmtId="0" xfId="0" applyBorder="1" applyFont="1"/>
    <xf borderId="5" fillId="0" fontId="5" numFmtId="0" xfId="0" applyAlignment="1" applyBorder="1" applyFont="1">
      <alignment horizontal="left" readingOrder="0" shrinkToFit="0" vertical="bottom" wrapText="0"/>
    </xf>
    <xf borderId="0" fillId="2" fontId="4" numFmtId="0" xfId="0" applyAlignment="1" applyFont="1">
      <alignment shrinkToFit="0" vertical="bottom" wrapText="0"/>
    </xf>
    <xf borderId="0" fillId="0" fontId="6" numFmtId="0" xfId="0" applyAlignment="1" applyFont="1">
      <alignment horizontal="left" shrinkToFit="0" vertical="bottom" wrapText="0"/>
    </xf>
    <xf borderId="0" fillId="0" fontId="4" numFmtId="0" xfId="0" applyAlignment="1" applyFont="1">
      <alignment horizontal="left" readingOrder="0" shrinkToFit="0" vertical="bottom" wrapText="0"/>
    </xf>
    <xf borderId="7" fillId="3" fontId="7" numFmtId="0" xfId="0" applyAlignment="1" applyBorder="1" applyFill="1" applyFont="1">
      <alignment horizontal="center" readingOrder="0" shrinkToFit="0" wrapText="0"/>
    </xf>
    <xf borderId="8" fillId="3" fontId="7" numFmtId="0" xfId="0" applyAlignment="1" applyBorder="1" applyFont="1">
      <alignment horizontal="center" readingOrder="0" shrinkToFit="0" wrapText="0"/>
    </xf>
    <xf borderId="9" fillId="3" fontId="7" numFmtId="0" xfId="0" applyAlignment="1" applyBorder="1" applyFont="1">
      <alignment horizontal="center" readingOrder="0" shrinkToFit="0" wrapText="0"/>
    </xf>
    <xf borderId="0" fillId="0" fontId="8" numFmtId="165" xfId="0" applyAlignment="1" applyFont="1" applyNumberFormat="1">
      <alignment readingOrder="0" shrinkToFit="0" vertical="bottom" wrapText="0"/>
    </xf>
    <xf borderId="0" fillId="0" fontId="8" numFmtId="0" xfId="0" applyAlignment="1" applyFont="1">
      <alignment readingOrder="0" shrinkToFit="0" vertical="bottom" wrapText="0"/>
    </xf>
    <xf borderId="13" fillId="0" fontId="6" numFmtId="0" xfId="0" applyAlignment="1" applyBorder="1" applyFont="1">
      <alignment shrinkToFit="0" vertical="top" wrapText="0"/>
    </xf>
    <xf borderId="0" fillId="0" fontId="6" numFmtId="0" xfId="0" applyAlignment="1" applyFont="1">
      <alignment shrinkToFit="0" vertical="top" wrapText="0"/>
    </xf>
    <xf borderId="14" fillId="0" fontId="6" numFmtId="0" xfId="0" applyAlignment="1" applyBorder="1" applyFont="1">
      <alignment shrinkToFit="0" vertical="top" wrapText="0"/>
    </xf>
    <xf borderId="11" fillId="0" fontId="6" numFmtId="0" xfId="0" applyAlignment="1" applyBorder="1" applyFont="1">
      <alignment shrinkToFit="0" vertical="top" wrapText="0"/>
    </xf>
    <xf borderId="12" fillId="0" fontId="6" numFmtId="0" xfId="0" applyAlignment="1" applyBorder="1" applyFont="1">
      <alignment shrinkToFit="0" vertical="top" wrapText="0"/>
    </xf>
    <xf borderId="5" fillId="0" fontId="6" numFmtId="0" xfId="0" applyAlignment="1" applyBorder="1" applyFont="1">
      <alignment shrinkToFit="0" vertical="top" wrapText="0"/>
    </xf>
    <xf borderId="0" fillId="2" fontId="2" numFmtId="0" xfId="0" applyAlignment="1" applyFont="1">
      <alignment horizontal="center" readingOrder="0" shrinkToFit="0" vertical="bottom" wrapText="0"/>
    </xf>
    <xf borderId="0" fillId="2" fontId="6" numFmtId="0" xfId="0" applyAlignment="1" applyFont="1">
      <alignment horizontal="left" shrinkToFit="0" vertical="bottom" wrapText="0"/>
    </xf>
    <xf borderId="0" fillId="2" fontId="9" numFmtId="0" xfId="0" applyAlignment="1" applyFont="1">
      <alignment horizontal="left" shrinkToFit="0" vertical="bottom" wrapText="0"/>
    </xf>
    <xf borderId="1" fillId="2" fontId="4" numFmtId="0" xfId="0" applyAlignment="1" applyBorder="1" applyFont="1">
      <alignment readingOrder="0" shrinkToFit="0" vertical="bottom" wrapText="0"/>
    </xf>
    <xf borderId="1" fillId="2" fontId="5" numFmtId="0" xfId="0" applyAlignment="1" applyBorder="1" applyFont="1">
      <alignment horizontal="left" readingOrder="0" shrinkToFit="0" vertical="bottom" wrapText="0"/>
    </xf>
    <xf borderId="1" fillId="2" fontId="4" numFmtId="0" xfId="0" applyAlignment="1" applyBorder="1" applyFont="1">
      <alignment readingOrder="0"/>
    </xf>
    <xf borderId="2" fillId="2" fontId="5" numFmtId="0" xfId="0" applyAlignment="1" applyBorder="1" applyFont="1">
      <alignment readingOrder="0" vertical="top"/>
    </xf>
    <xf borderId="0" fillId="2" fontId="6" numFmtId="0" xfId="0" applyAlignment="1" applyFont="1">
      <alignment shrinkToFit="0" wrapText="0"/>
    </xf>
    <xf borderId="0" fillId="2" fontId="6" numFmtId="0" xfId="0" applyAlignment="1" applyFont="1">
      <alignment horizontal="left" shrinkToFit="0" wrapText="0"/>
    </xf>
    <xf borderId="7" fillId="4" fontId="7" numFmtId="0" xfId="0" applyAlignment="1" applyBorder="1" applyFill="1" applyFont="1">
      <alignment horizontal="center" readingOrder="0" shrinkToFit="0" wrapText="0"/>
    </xf>
    <xf borderId="8" fillId="4" fontId="7" numFmtId="0" xfId="0" applyAlignment="1" applyBorder="1" applyFont="1">
      <alignment horizontal="center" readingOrder="0" shrinkToFit="0" wrapText="0"/>
    </xf>
    <xf borderId="9" fillId="4" fontId="7" numFmtId="0" xfId="0" applyAlignment="1" applyBorder="1" applyFont="1">
      <alignment horizontal="center" readingOrder="0" shrinkToFit="0" wrapText="0"/>
    </xf>
    <xf borderId="4" fillId="0" fontId="10" numFmtId="0" xfId="0" applyAlignment="1" applyBorder="1" applyFont="1">
      <alignment horizontal="left" readingOrder="0"/>
    </xf>
    <xf borderId="0" fillId="0" fontId="11" numFmtId="0" xfId="0" applyAlignment="1" applyFont="1">
      <alignment readingOrder="0"/>
    </xf>
    <xf borderId="0" fillId="0" fontId="12" numFmtId="0" xfId="0" applyAlignment="1" applyFont="1">
      <alignment horizontal="left" readingOrder="0"/>
    </xf>
    <xf borderId="0" fillId="0" fontId="13" numFmtId="0" xfId="0" applyAlignment="1" applyFont="1">
      <alignment horizontal="left" readingOrder="0"/>
    </xf>
    <xf borderId="10" fillId="2" fontId="14" numFmtId="0" xfId="0" applyAlignment="1" applyBorder="1" applyFont="1">
      <alignment horizontal="left" readingOrder="0" vertical="bottom"/>
    </xf>
    <xf borderId="2" fillId="2" fontId="5" numFmtId="0" xfId="0" applyAlignment="1" applyBorder="1" applyFont="1">
      <alignment horizontal="left" readingOrder="0" vertical="bottom"/>
    </xf>
    <xf borderId="0" fillId="2" fontId="6" numFmtId="0" xfId="0" applyAlignment="1" applyFont="1">
      <alignment vertical="bottom"/>
    </xf>
    <xf borderId="12" fillId="2" fontId="5" numFmtId="0" xfId="0" applyAlignment="1" applyBorder="1" applyFont="1">
      <alignment horizontal="left" vertical="bottom"/>
    </xf>
    <xf borderId="10" fillId="2" fontId="14" numFmtId="0" xfId="0" applyAlignment="1" applyBorder="1" applyFont="1">
      <alignment horizontal="center" readingOrder="0" shrinkToFit="0" wrapText="0"/>
    </xf>
    <xf borderId="4" fillId="2" fontId="14" numFmtId="0" xfId="0" applyAlignment="1" applyBorder="1" applyFont="1">
      <alignment horizontal="center" readingOrder="0"/>
    </xf>
    <xf borderId="12" fillId="2" fontId="14" numFmtId="0" xfId="0" applyAlignment="1" applyBorder="1" applyFont="1">
      <alignment horizontal="center" readingOrder="0"/>
    </xf>
    <xf borderId="1" fillId="2" fontId="14" numFmtId="0" xfId="0" applyAlignment="1" applyBorder="1" applyFont="1">
      <alignment horizontal="center" readingOrder="0"/>
    </xf>
    <xf borderId="0" fillId="2" fontId="6" numFmtId="0" xfId="0" applyAlignment="1" applyFont="1">
      <alignment horizontal="center" vertical="bottom"/>
    </xf>
    <xf borderId="10" fillId="2" fontId="6" numFmtId="0" xfId="0" applyAlignment="1" applyBorder="1" applyFont="1">
      <alignment horizontal="center" readingOrder="0" shrinkToFit="0" wrapText="0"/>
    </xf>
    <xf borderId="5" fillId="2" fontId="6" numFmtId="0" xfId="0" applyAlignment="1" applyBorder="1" applyFont="1">
      <alignment horizontal="center" readingOrder="0" shrinkToFit="0" wrapText="0"/>
    </xf>
    <xf borderId="2" fillId="2" fontId="6" numFmtId="0" xfId="0" applyAlignment="1" applyBorder="1" applyFont="1">
      <alignment horizontal="center" readingOrder="0"/>
    </xf>
    <xf borderId="4" fillId="3" fontId="7" numFmtId="0" xfId="0" applyAlignment="1" applyBorder="1" applyFont="1">
      <alignment horizontal="center" readingOrder="0"/>
    </xf>
    <xf borderId="9" fillId="3" fontId="7" numFmtId="0" xfId="0" applyAlignment="1" applyBorder="1" applyFont="1">
      <alignment horizontal="center" readingOrder="0"/>
    </xf>
    <xf borderId="4" fillId="5" fontId="15" numFmtId="0" xfId="0" applyAlignment="1" applyBorder="1" applyFill="1" applyFont="1">
      <alignment horizontal="left" readingOrder="0" shrinkToFit="0" wrapText="0"/>
    </xf>
    <xf borderId="4" fillId="0" fontId="15" numFmtId="0" xfId="0" applyAlignment="1" applyBorder="1" applyFont="1">
      <alignment readingOrder="0" shrinkToFit="0" vertical="bottom" wrapText="0"/>
    </xf>
    <xf borderId="4" fillId="0" fontId="16" numFmtId="0" xfId="0" applyAlignment="1" applyBorder="1" applyFont="1">
      <alignment readingOrder="0"/>
    </xf>
    <xf borderId="4" fillId="5" fontId="15" numFmtId="0" xfId="0" applyAlignment="1" applyBorder="1" applyFont="1">
      <alignment horizontal="left" shrinkToFit="0" wrapText="0"/>
    </xf>
    <xf borderId="4" fillId="0" fontId="15" numFmtId="0" xfId="0" applyAlignment="1" applyBorder="1" applyFont="1">
      <alignment shrinkToFit="0" vertical="bottom" wrapText="0"/>
    </xf>
    <xf borderId="4" fillId="0" fontId="15" numFmtId="165" xfId="0" applyAlignment="1" applyBorder="1" applyFont="1" applyNumberFormat="1">
      <alignment readingOrder="0" shrinkToFit="0" vertical="bottom" wrapText="0"/>
    </xf>
    <xf borderId="4" fillId="0" fontId="15" numFmtId="0" xfId="0" applyAlignment="1" applyBorder="1" applyFont="1">
      <alignment shrinkToFit="0" vertical="bottom" wrapText="0"/>
    </xf>
    <xf borderId="0" fillId="2" fontId="16" numFmtId="0" xfId="0" applyFont="1"/>
    <xf borderId="0" fillId="0" fontId="16" numFmtId="0" xfId="0" applyAlignment="1" applyFont="1">
      <alignment readingOrder="0"/>
    </xf>
    <xf borderId="15" fillId="2" fontId="17" numFmtId="0" xfId="0" applyAlignment="1" applyBorder="1" applyFont="1">
      <alignment vertical="bottom"/>
    </xf>
    <xf borderId="15" fillId="2" fontId="17" numFmtId="0" xfId="0" applyAlignment="1" applyBorder="1" applyFont="1">
      <alignment vertical="bottom"/>
    </xf>
    <xf borderId="16" fillId="2" fontId="17" numFmtId="0" xfId="0" applyAlignment="1" applyBorder="1" applyFont="1">
      <alignment vertical="bottom"/>
    </xf>
    <xf borderId="17" fillId="2" fontId="18" numFmtId="0" xfId="0" applyAlignment="1" applyBorder="1" applyFont="1">
      <alignment shrinkToFit="0" vertical="bottom" wrapText="1"/>
    </xf>
    <xf borderId="1" fillId="2" fontId="5" numFmtId="0" xfId="0" applyAlignment="1" applyBorder="1" applyFont="1">
      <alignment readingOrder="0" shrinkToFit="0" vertical="bottom" wrapText="1"/>
    </xf>
    <xf borderId="18" fillId="0" fontId="3" numFmtId="0" xfId="0" applyBorder="1" applyFont="1"/>
    <xf borderId="19" fillId="2" fontId="18" numFmtId="0" xfId="0" applyAlignment="1" applyBorder="1" applyFont="1">
      <alignment shrinkToFit="0" vertical="bottom" wrapText="1"/>
    </xf>
    <xf borderId="1" fillId="2" fontId="5" numFmtId="0" xfId="0" applyAlignment="1" applyBorder="1" applyFont="1">
      <alignment shrinkToFit="0" vertical="bottom" wrapText="1"/>
    </xf>
    <xf borderId="20" fillId="2" fontId="17" numFmtId="0" xfId="0" applyAlignment="1" applyBorder="1" applyFont="1">
      <alignment vertical="bottom"/>
    </xf>
    <xf borderId="21" fillId="0" fontId="3" numFmtId="0" xfId="0" applyBorder="1" applyFont="1"/>
    <xf borderId="22" fillId="0" fontId="3" numFmtId="0" xfId="0" applyBorder="1" applyFont="1"/>
    <xf borderId="19" fillId="2" fontId="18" numFmtId="0" xfId="0" applyAlignment="1" applyBorder="1" applyFont="1">
      <alignment horizontal="center"/>
    </xf>
    <xf borderId="4" fillId="2" fontId="18" numFmtId="0" xfId="0" applyAlignment="1" applyBorder="1" applyFont="1">
      <alignment horizontal="center" shrinkToFit="0" wrapText="1"/>
    </xf>
    <xf borderId="23" fillId="2" fontId="18" numFmtId="0" xfId="0" applyAlignment="1" applyBorder="1" applyFont="1">
      <alignment horizontal="center" shrinkToFit="0" wrapText="1"/>
    </xf>
    <xf borderId="24" fillId="2" fontId="18" numFmtId="0" xfId="0" applyAlignment="1" applyBorder="1" applyFont="1">
      <alignment horizontal="center" readingOrder="0" shrinkToFit="0" wrapText="1"/>
    </xf>
    <xf borderId="25" fillId="2" fontId="19" numFmtId="0" xfId="0" applyAlignment="1" applyBorder="1" applyFont="1">
      <alignment horizontal="center"/>
    </xf>
    <xf borderId="26" fillId="2" fontId="19" numFmtId="0" xfId="0" applyAlignment="1" applyBorder="1" applyFont="1">
      <alignment horizontal="center"/>
    </xf>
    <xf borderId="27" fillId="2" fontId="19" numFmtId="0" xfId="0" applyAlignment="1" applyBorder="1" applyFont="1">
      <alignment horizontal="center"/>
    </xf>
    <xf borderId="28" fillId="2" fontId="19" numFmtId="0" xfId="0" applyAlignment="1" applyBorder="1" applyFont="1">
      <alignment horizontal="center" shrinkToFit="0" wrapText="1"/>
    </xf>
    <xf borderId="4" fillId="3" fontId="7" numFmtId="0" xfId="0" applyAlignment="1" applyBorder="1" applyFont="1">
      <alignment horizontal="center" shrinkToFit="0" wrapText="1"/>
    </xf>
    <xf borderId="29" fillId="3" fontId="7" numFmtId="0" xfId="0" applyAlignment="1" applyBorder="1" applyFont="1">
      <alignment horizontal="center" shrinkToFit="0" wrapText="1"/>
    </xf>
    <xf borderId="4" fillId="2" fontId="20" numFmtId="0" xfId="0" applyAlignment="1" applyBorder="1" applyFont="1">
      <alignment horizontal="left" readingOrder="0" shrinkToFit="0" vertical="center" wrapText="1"/>
    </xf>
    <xf borderId="4" fillId="2" fontId="20" numFmtId="164" xfId="0" applyAlignment="1" applyBorder="1" applyFont="1" applyNumberFormat="1">
      <alignment horizontal="left" readingOrder="0" shrinkToFit="0" vertical="center" wrapText="1"/>
    </xf>
    <xf borderId="4" fillId="0" fontId="21" numFmtId="0" xfId="0" applyAlignment="1" applyBorder="1" applyFont="1">
      <alignment horizontal="left" readingOrder="0" shrinkToFit="0" vertical="center" wrapText="1"/>
    </xf>
    <xf borderId="4" fillId="0" fontId="20" numFmtId="0" xfId="0" applyAlignment="1" applyBorder="1" applyFont="1">
      <alignment horizontal="left" readingOrder="0" shrinkToFit="0" vertical="center" wrapText="1"/>
    </xf>
    <xf borderId="4" fillId="0" fontId="21" numFmtId="164" xfId="0" applyAlignment="1" applyBorder="1" applyFont="1" applyNumberFormat="1">
      <alignment horizontal="left" readingOrder="0" shrinkToFit="0" vertical="center" wrapText="1"/>
    </xf>
    <xf borderId="4" fillId="0" fontId="22" numFmtId="0" xfId="0" applyAlignment="1" applyBorder="1" applyFont="1">
      <alignment horizontal="left" readingOrder="0" shrinkToFit="0" vertical="center" wrapText="1"/>
    </xf>
    <xf borderId="4" fillId="0" fontId="22" numFmtId="164" xfId="0" applyAlignment="1" applyBorder="1" applyFont="1" applyNumberFormat="1">
      <alignment horizontal="left" readingOrder="0" shrinkToFit="0" vertical="center" wrapText="1"/>
    </xf>
    <xf borderId="0" fillId="0" fontId="16" numFmtId="0" xfId="0" applyAlignment="1" applyFont="1">
      <alignment readingOrder="0" shrinkToFit="0" vertical="center" wrapText="1"/>
    </xf>
    <xf borderId="4" fillId="0" fontId="23" numFmtId="0" xfId="0" applyAlignment="1" applyBorder="1" applyFont="1">
      <alignment horizontal="left" readingOrder="0" shrinkToFit="0" vertical="center" wrapText="1"/>
    </xf>
    <xf borderId="4" fillId="0" fontId="24" numFmtId="0" xfId="0" applyAlignment="1" applyBorder="1" applyFont="1">
      <alignment horizontal="left" readingOrder="0" shrinkToFit="0" wrapText="1"/>
    </xf>
    <xf borderId="4" fillId="0" fontId="24" numFmtId="0" xfId="0" applyAlignment="1" applyBorder="1" applyFont="1">
      <alignment horizontal="left" readingOrder="0" shrinkToFit="0" vertical="top" wrapText="1"/>
    </xf>
    <xf borderId="4" fillId="0" fontId="23" numFmtId="164" xfId="0" applyAlignment="1" applyBorder="1" applyFont="1" applyNumberFormat="1">
      <alignment horizontal="left" readingOrder="0" shrinkToFit="0" wrapText="1"/>
    </xf>
    <xf borderId="4" fillId="0" fontId="23" numFmtId="0" xfId="0" applyAlignment="1" applyBorder="1" applyFont="1">
      <alignment horizontal="left" readingOrder="0" shrinkToFit="0" vertical="top" wrapText="1"/>
    </xf>
    <xf borderId="30" fillId="0" fontId="15" numFmtId="0" xfId="0" applyAlignment="1" applyBorder="1" applyFont="1">
      <alignment readingOrder="0" shrinkToFit="0" vertical="bottom" wrapText="0"/>
    </xf>
    <xf borderId="30" fillId="0" fontId="16" numFmtId="0" xfId="0" applyAlignment="1" applyBorder="1" applyFont="1">
      <alignment readingOrder="0"/>
    </xf>
    <xf borderId="30" fillId="0" fontId="15" numFmtId="0" xfId="0" applyAlignment="1" applyBorder="1" applyFont="1">
      <alignment shrinkToFit="0" vertical="bottom" wrapText="0"/>
    </xf>
    <xf borderId="30" fillId="0" fontId="15" numFmtId="165" xfId="0" applyAlignment="1" applyBorder="1" applyFont="1" applyNumberFormat="1">
      <alignment readingOrder="0" shrinkToFit="0" vertical="bottom" wrapText="0"/>
    </xf>
    <xf borderId="8" fillId="0" fontId="15" numFmtId="0" xfId="0" applyAlignment="1" applyBorder="1" applyFont="1">
      <alignment readingOrder="0" shrinkToFit="0" vertical="bottom" wrapText="0"/>
    </xf>
    <xf borderId="8" fillId="0" fontId="15" numFmtId="0" xfId="0" applyAlignment="1" applyBorder="1" applyFont="1">
      <alignment shrinkToFit="0" vertical="bottom" wrapText="0"/>
    </xf>
    <xf borderId="8" fillId="0" fontId="15" numFmtId="165" xfId="0" applyAlignment="1" applyBorder="1" applyFont="1" applyNumberFormat="1">
      <alignment readingOrder="0" shrinkToFit="0" vertical="bottom" wrapText="0"/>
    </xf>
    <xf borderId="0" fillId="0" fontId="15" numFmtId="0" xfId="0" applyAlignment="1" applyFont="1">
      <alignment readingOrder="0" shrinkToFit="0" vertical="bottom" wrapText="0"/>
    </xf>
    <xf borderId="0" fillId="0" fontId="15" numFmtId="0" xfId="0" applyAlignment="1" applyFont="1">
      <alignment shrinkToFit="0" vertical="bottom" wrapText="0"/>
    </xf>
    <xf borderId="0" fillId="0" fontId="15" numFmtId="165" xfId="0" applyAlignment="1" applyFont="1" applyNumberFormat="1">
      <alignment readingOrder="0" shrinkToFit="0" vertical="bottom" wrapText="0"/>
    </xf>
    <xf borderId="0" fillId="5" fontId="17" numFmtId="0" xfId="0" applyAlignment="1" applyFont="1">
      <alignment vertical="bottom"/>
    </xf>
    <xf borderId="31" fillId="5" fontId="17" numFmtId="0" xfId="0" applyAlignment="1" applyBorder="1" applyFont="1">
      <alignment vertical="bottom"/>
    </xf>
    <xf borderId="16" fillId="5" fontId="17" numFmtId="0" xfId="0" applyAlignment="1" applyBorder="1" applyFont="1">
      <alignment vertical="bottom"/>
    </xf>
    <xf borderId="0" fillId="5" fontId="19" numFmtId="0" xfId="0" applyAlignment="1" applyFont="1">
      <alignment vertical="bottom"/>
    </xf>
    <xf borderId="0" fillId="5" fontId="7" numFmtId="0" xfId="0" applyAlignment="1" applyFont="1">
      <alignment horizontal="center" shrinkToFit="0" wrapText="1"/>
    </xf>
    <xf borderId="0" fillId="5" fontId="17" numFmtId="0" xfId="0" applyFont="1"/>
    <xf borderId="4" fillId="2" fontId="20" numFmtId="0" xfId="0" applyAlignment="1" applyBorder="1" applyFont="1">
      <alignment horizontal="left" readingOrder="0" shrinkToFit="0" vertical="top" wrapText="1"/>
    </xf>
    <xf borderId="4" fillId="2" fontId="20" numFmtId="0" xfId="0" applyAlignment="1" applyBorder="1" applyFont="1">
      <alignment horizontal="left" readingOrder="0" shrinkToFit="0" vertical="top" wrapText="1"/>
    </xf>
    <xf borderId="4" fillId="2" fontId="20" numFmtId="164" xfId="0" applyAlignment="1" applyBorder="1" applyFont="1" applyNumberFormat="1">
      <alignment horizontal="left" readingOrder="0" shrinkToFit="0" vertical="top" wrapText="1"/>
    </xf>
    <xf borderId="0" fillId="5" fontId="25" numFmtId="0" xfId="0" applyAlignment="1" applyFont="1">
      <alignment shrinkToFit="0" wrapText="1"/>
    </xf>
    <xf borderId="0" fillId="5" fontId="17" numFmtId="0" xfId="0" applyAlignment="1" applyFont="1">
      <alignment vertical="top"/>
    </xf>
    <xf borderId="31" fillId="5" fontId="17" numFmtId="0" xfId="0" applyAlignment="1" applyBorder="1" applyFont="1">
      <alignment vertical="top"/>
    </xf>
    <xf borderId="16" fillId="5" fontId="17" numFmtId="0" xfId="0" applyAlignment="1" applyBorder="1" applyFont="1">
      <alignment vertical="top"/>
    </xf>
    <xf borderId="16" fillId="2" fontId="17" numFmtId="0" xfId="0" applyAlignment="1" applyBorder="1" applyFont="1">
      <alignment vertical="top"/>
    </xf>
    <xf borderId="0" fillId="5" fontId="19" numFmtId="0" xfId="0" applyAlignment="1" applyFont="1">
      <alignment shrinkToFit="0" vertical="top" wrapText="1"/>
    </xf>
    <xf borderId="32" fillId="5" fontId="17" numFmtId="0" xfId="0" applyAlignment="1" applyBorder="1" applyFont="1">
      <alignment vertical="bottom"/>
    </xf>
    <xf borderId="0" fillId="2" fontId="14" numFmtId="0" xfId="0" applyAlignment="1" applyFont="1">
      <alignment shrinkToFit="0" vertical="bottom" wrapText="0"/>
    </xf>
    <xf borderId="4" fillId="2" fontId="4" numFmtId="0" xfId="0" applyAlignment="1" applyBorder="1" applyFont="1">
      <alignment horizontal="left" readingOrder="0" shrinkToFit="0" wrapText="0"/>
    </xf>
    <xf borderId="2" fillId="2" fontId="5" numFmtId="0" xfId="0" applyAlignment="1" applyBorder="1" applyFont="1">
      <alignment horizontal="left" readingOrder="0" shrinkToFit="0" vertical="bottom" wrapText="0"/>
    </xf>
    <xf borderId="2" fillId="2" fontId="4" numFmtId="0" xfId="0" applyAlignment="1" applyBorder="1" applyFont="1">
      <alignment horizontal="left" readingOrder="0" shrinkToFit="0" vertical="bottom" wrapText="0"/>
    </xf>
    <xf borderId="3" fillId="2" fontId="4" numFmtId="0" xfId="0" applyAlignment="1" applyBorder="1" applyFont="1">
      <alignment horizontal="left" shrinkToFit="0" vertical="bottom" wrapText="0"/>
    </xf>
    <xf borderId="3" fillId="2" fontId="6" numFmtId="0" xfId="0" applyAlignment="1" applyBorder="1" applyFont="1">
      <alignment shrinkToFit="0" vertical="top" wrapText="0"/>
    </xf>
    <xf borderId="5" fillId="2" fontId="4" numFmtId="0" xfId="0" applyAlignment="1" applyBorder="1" applyFont="1">
      <alignment horizontal="left" shrinkToFit="0" vertical="bottom" wrapText="0"/>
    </xf>
    <xf borderId="5" fillId="2" fontId="6" numFmtId="0" xfId="0" applyAlignment="1" applyBorder="1" applyFont="1">
      <alignment shrinkToFit="0" vertical="top" wrapText="0"/>
    </xf>
    <xf borderId="4" fillId="2" fontId="4" numFmtId="0" xfId="0" applyAlignment="1" applyBorder="1" applyFont="1">
      <alignment readingOrder="0" shrinkToFit="0" wrapText="0"/>
    </xf>
    <xf borderId="5" fillId="2" fontId="5" numFmtId="0" xfId="0" applyAlignment="1" applyBorder="1" applyFont="1">
      <alignment readingOrder="0" shrinkToFit="0" vertical="top" wrapText="0"/>
    </xf>
    <xf borderId="2" fillId="2" fontId="5" numFmtId="0" xfId="0" applyAlignment="1" applyBorder="1" applyFont="1">
      <alignment readingOrder="0" shrinkToFit="0" vertical="top" wrapText="0"/>
    </xf>
    <xf borderId="0" fillId="2" fontId="5" numFmtId="0" xfId="0" applyAlignment="1" applyFont="1">
      <alignment shrinkToFit="0" vertical="bottom" wrapText="0"/>
    </xf>
    <xf borderId="14" fillId="2" fontId="6" numFmtId="0" xfId="0" applyAlignment="1" applyBorder="1" applyFont="1">
      <alignment shrinkToFit="0" vertical="bottom" wrapText="0"/>
    </xf>
    <xf borderId="8" fillId="3" fontId="7" numFmtId="0" xfId="0" applyAlignment="1" applyBorder="1" applyFont="1">
      <alignment horizontal="center" readingOrder="0" shrinkToFit="0" vertical="bottom" wrapText="0"/>
    </xf>
    <xf borderId="8" fillId="3" fontId="7" numFmtId="0" xfId="0" applyAlignment="1" applyBorder="1" applyFont="1">
      <alignment horizontal="center" readingOrder="0" vertical="bottom"/>
    </xf>
    <xf borderId="9" fillId="3" fontId="7" numFmtId="0" xfId="0" applyAlignment="1" applyBorder="1" applyFont="1">
      <alignment horizontal="center" readingOrder="0" vertical="bottom"/>
    </xf>
    <xf borderId="0" fillId="0" fontId="15" numFmtId="0" xfId="0" applyAlignment="1" applyFont="1">
      <alignment horizontal="right" readingOrder="0" shrinkToFit="0" vertical="bottom" wrapText="0"/>
    </xf>
    <xf borderId="0" fillId="0" fontId="26" numFmtId="0" xfId="0" applyAlignment="1" applyFont="1">
      <alignment shrinkToFit="0" vertical="bottom" wrapText="0"/>
    </xf>
    <xf borderId="0" fillId="2" fontId="6" numFmtId="0" xfId="0" applyAlignment="1" applyFont="1">
      <alignment horizontal="center" shrinkToFit="0" vertical="bottom" wrapText="0"/>
    </xf>
    <xf borderId="14" fillId="2" fontId="6" numFmtId="0" xfId="0" applyAlignment="1" applyBorder="1" applyFont="1">
      <alignment horizontal="center" shrinkToFit="0" vertical="bottom" wrapText="0"/>
    </xf>
    <xf borderId="12" fillId="3" fontId="27" numFmtId="0" xfId="0" applyAlignment="1" applyBorder="1" applyFont="1">
      <alignment horizontal="center" shrinkToFit="0" vertical="bottom" wrapText="0"/>
    </xf>
    <xf borderId="12" fillId="3" fontId="7" numFmtId="0" xfId="0" applyAlignment="1" applyBorder="1" applyFont="1">
      <alignment readingOrder="0" shrinkToFit="0" vertical="bottom" wrapText="0"/>
    </xf>
    <xf borderId="12" fillId="3" fontId="27" numFmtId="0" xfId="0" applyAlignment="1" applyBorder="1" applyFont="1">
      <alignment horizontal="center" readingOrder="0" shrinkToFit="0" vertical="bottom" wrapText="0"/>
    </xf>
    <xf borderId="5" fillId="3" fontId="27" numFmtId="0" xfId="0" applyAlignment="1" applyBorder="1" applyFont="1">
      <alignment horizontal="center" readingOrder="0" shrinkToFit="0" vertical="bottom" wrapText="0"/>
    </xf>
    <xf borderId="0" fillId="2" fontId="4" numFmtId="0" xfId="0" applyAlignment="1" applyFont="1">
      <alignment horizontal="left" readingOrder="0" shrinkToFit="0" vertical="bottom" wrapText="0"/>
    </xf>
    <xf borderId="0" fillId="2" fontId="28" numFmtId="0" xfId="0" applyAlignment="1" applyFont="1">
      <alignment horizontal="right" readingOrder="0" vertical="bottom"/>
    </xf>
    <xf borderId="0" fillId="2" fontId="6"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21.5"/>
    <col customWidth="1" min="3" max="3" width="17.13"/>
    <col customWidth="1" min="5" max="5" width="31.38"/>
    <col customWidth="1" min="6" max="6" width="59.88"/>
  </cols>
  <sheetData>
    <row r="1">
      <c r="A1" s="1" t="s">
        <v>0</v>
      </c>
      <c r="B1" s="2" t="s">
        <v>1</v>
      </c>
      <c r="C1" s="3"/>
      <c r="D1" s="3"/>
      <c r="E1" s="3"/>
      <c r="F1" s="4"/>
    </row>
    <row r="2">
      <c r="A2" s="5"/>
      <c r="B2" s="6"/>
      <c r="C2" s="7"/>
      <c r="D2" s="7"/>
      <c r="E2" s="8"/>
      <c r="F2" s="7"/>
    </row>
    <row r="3">
      <c r="A3" s="9" t="s">
        <v>2</v>
      </c>
      <c r="B3" s="10" t="s">
        <v>3</v>
      </c>
      <c r="C3" s="3"/>
      <c r="D3" s="4"/>
      <c r="E3" s="9" t="s">
        <v>4</v>
      </c>
      <c r="F3" s="11" t="s">
        <v>5</v>
      </c>
    </row>
    <row r="4">
      <c r="A4" s="9" t="s">
        <v>6</v>
      </c>
      <c r="B4" s="10" t="s">
        <v>7</v>
      </c>
      <c r="C4" s="3"/>
      <c r="D4" s="4"/>
      <c r="E4" s="9" t="s">
        <v>8</v>
      </c>
      <c r="F4" s="12"/>
    </row>
    <row r="5">
      <c r="A5" s="13" t="s">
        <v>9</v>
      </c>
      <c r="B5" s="14" t="s">
        <v>10</v>
      </c>
      <c r="C5" s="15"/>
      <c r="D5" s="16"/>
      <c r="E5" s="9" t="s">
        <v>11</v>
      </c>
      <c r="F5" s="17">
        <v>45965.0</v>
      </c>
    </row>
    <row r="6">
      <c r="A6" s="18"/>
      <c r="B6" s="19"/>
      <c r="C6" s="20"/>
      <c r="D6" s="21"/>
      <c r="E6" s="9" t="s">
        <v>12</v>
      </c>
      <c r="F6" s="22">
        <v>1.0</v>
      </c>
    </row>
    <row r="7">
      <c r="A7" s="23"/>
      <c r="B7" s="6"/>
      <c r="C7" s="7"/>
      <c r="D7" s="7"/>
      <c r="E7" s="5"/>
      <c r="F7" s="6"/>
    </row>
    <row r="8">
      <c r="A8" s="24"/>
      <c r="B8" s="7"/>
      <c r="C8" s="7"/>
      <c r="D8" s="7"/>
      <c r="E8" s="7"/>
      <c r="F8" s="7"/>
    </row>
    <row r="9">
      <c r="A9" s="25" t="s">
        <v>13</v>
      </c>
      <c r="B9" s="7"/>
      <c r="C9" s="7"/>
      <c r="D9" s="7"/>
      <c r="E9" s="7"/>
      <c r="F9" s="7"/>
    </row>
    <row r="10">
      <c r="A10" s="26" t="s">
        <v>14</v>
      </c>
      <c r="B10" s="27" t="s">
        <v>12</v>
      </c>
      <c r="C10" s="27" t="s">
        <v>15</v>
      </c>
      <c r="D10" s="27" t="s">
        <v>16</v>
      </c>
      <c r="E10" s="27" t="s">
        <v>17</v>
      </c>
      <c r="F10" s="28" t="s">
        <v>18</v>
      </c>
    </row>
    <row r="11">
      <c r="A11" s="29">
        <v>45965.0</v>
      </c>
      <c r="B11" s="30" t="s">
        <v>19</v>
      </c>
      <c r="C11" s="30" t="s">
        <v>20</v>
      </c>
      <c r="D11" s="30" t="s">
        <v>21</v>
      </c>
      <c r="E11" s="30" t="s">
        <v>22</v>
      </c>
      <c r="F11" s="30" t="s">
        <v>23</v>
      </c>
    </row>
    <row r="12">
      <c r="A12" s="31"/>
      <c r="B12" s="32"/>
      <c r="C12" s="32"/>
      <c r="D12" s="32"/>
      <c r="E12" s="32"/>
      <c r="F12" s="33"/>
    </row>
    <row r="13">
      <c r="A13" s="31"/>
      <c r="B13" s="32"/>
      <c r="C13" s="32"/>
      <c r="D13" s="32"/>
      <c r="E13" s="32"/>
      <c r="F13" s="33"/>
    </row>
    <row r="14">
      <c r="A14" s="31"/>
      <c r="B14" s="32"/>
      <c r="C14" s="32"/>
      <c r="D14" s="32"/>
      <c r="E14" s="32"/>
      <c r="F14" s="33"/>
    </row>
    <row r="15">
      <c r="A15" s="31"/>
      <c r="B15" s="32"/>
      <c r="C15" s="32"/>
      <c r="D15" s="32"/>
      <c r="E15" s="32"/>
      <c r="F15" s="33"/>
    </row>
    <row r="16">
      <c r="A16" s="31"/>
      <c r="B16" s="32"/>
      <c r="C16" s="32"/>
      <c r="D16" s="32"/>
      <c r="E16" s="32"/>
      <c r="F16" s="33"/>
    </row>
    <row r="17">
      <c r="A17" s="34"/>
      <c r="B17" s="35"/>
      <c r="C17" s="35"/>
      <c r="D17" s="35"/>
      <c r="E17" s="35"/>
      <c r="F17" s="36"/>
    </row>
  </sheetData>
  <mergeCells count="5">
    <mergeCell ref="B1:F1"/>
    <mergeCell ref="B3:D3"/>
    <mergeCell ref="B4:D4"/>
    <mergeCell ref="A5:A6"/>
    <mergeCell ref="B5:D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63"/>
    <col customWidth="1" min="4" max="4" width="115.63"/>
    <col customWidth="1" min="5" max="5" width="40.63"/>
  </cols>
  <sheetData>
    <row r="1">
      <c r="A1" s="37" t="s">
        <v>24</v>
      </c>
    </row>
    <row r="2">
      <c r="A2" s="8"/>
      <c r="B2" s="38"/>
      <c r="C2" s="39"/>
      <c r="D2" s="39"/>
      <c r="E2" s="38"/>
    </row>
    <row r="3">
      <c r="A3" s="40" t="s">
        <v>2</v>
      </c>
      <c r="B3" s="3"/>
      <c r="C3" s="41" t="s">
        <v>25</v>
      </c>
      <c r="D3" s="3"/>
      <c r="E3" s="4"/>
    </row>
    <row r="4">
      <c r="A4" s="40" t="s">
        <v>6</v>
      </c>
      <c r="B4" s="3"/>
      <c r="C4" s="41" t="s">
        <v>7</v>
      </c>
      <c r="D4" s="3"/>
      <c r="E4" s="4"/>
    </row>
    <row r="5">
      <c r="A5" s="42" t="s">
        <v>26</v>
      </c>
      <c r="B5" s="4"/>
      <c r="C5" s="43" t="s">
        <v>27</v>
      </c>
      <c r="D5" s="3"/>
      <c r="E5" s="4"/>
    </row>
    <row r="6">
      <c r="A6" s="23"/>
      <c r="B6" s="8"/>
      <c r="C6" s="8"/>
      <c r="D6" s="8"/>
      <c r="E6" s="8"/>
    </row>
    <row r="7">
      <c r="A7" s="44"/>
      <c r="B7" s="45"/>
      <c r="C7" s="45"/>
      <c r="D7" s="45"/>
      <c r="E7" s="45"/>
    </row>
    <row r="8">
      <c r="A8" s="46" t="s">
        <v>28</v>
      </c>
      <c r="B8" s="47" t="s">
        <v>29</v>
      </c>
      <c r="C8" s="47" t="s">
        <v>30</v>
      </c>
      <c r="D8" s="47" t="s">
        <v>31</v>
      </c>
      <c r="E8" s="48" t="s">
        <v>32</v>
      </c>
    </row>
    <row r="9">
      <c r="A9" s="49">
        <v>1.0</v>
      </c>
      <c r="B9" s="49" t="s">
        <v>33</v>
      </c>
      <c r="C9" s="49" t="s">
        <v>34</v>
      </c>
      <c r="D9" s="49" t="s">
        <v>35</v>
      </c>
      <c r="E9" s="49" t="s">
        <v>36</v>
      </c>
    </row>
    <row r="10">
      <c r="A10" s="49">
        <v>2.0</v>
      </c>
      <c r="B10" s="49" t="s">
        <v>37</v>
      </c>
      <c r="C10" s="49" t="s">
        <v>38</v>
      </c>
      <c r="D10" s="49" t="s">
        <v>39</v>
      </c>
      <c r="E10" s="49" t="s">
        <v>40</v>
      </c>
    </row>
    <row r="11">
      <c r="A11" s="49">
        <v>3.0</v>
      </c>
      <c r="B11" s="49" t="s">
        <v>41</v>
      </c>
      <c r="C11" s="49" t="s">
        <v>42</v>
      </c>
      <c r="D11" s="49" t="s">
        <v>43</v>
      </c>
      <c r="E11" s="49" t="s">
        <v>44</v>
      </c>
    </row>
    <row r="12">
      <c r="A12" s="49">
        <v>4.0</v>
      </c>
      <c r="B12" s="49" t="s">
        <v>45</v>
      </c>
      <c r="C12" s="49" t="s">
        <v>46</v>
      </c>
      <c r="D12" s="49" t="s">
        <v>47</v>
      </c>
      <c r="E12" s="49" t="s">
        <v>48</v>
      </c>
    </row>
    <row r="13">
      <c r="A13" s="50"/>
      <c r="B13" s="50"/>
      <c r="C13" s="50"/>
      <c r="D13" s="50"/>
      <c r="E13" s="50"/>
    </row>
    <row r="14">
      <c r="A14" s="50"/>
      <c r="B14" s="50"/>
      <c r="C14" s="50"/>
      <c r="D14" s="50"/>
      <c r="E14" s="50"/>
    </row>
    <row r="15">
      <c r="A15" s="50"/>
      <c r="B15" s="50"/>
      <c r="C15" s="50"/>
      <c r="D15" s="50"/>
      <c r="E15" s="50"/>
    </row>
    <row r="16">
      <c r="A16" s="50"/>
      <c r="B16" s="50"/>
      <c r="C16" s="50"/>
      <c r="D16" s="50"/>
      <c r="E16" s="50"/>
    </row>
    <row r="17">
      <c r="A17" s="51"/>
      <c r="B17" s="52"/>
      <c r="C17" s="51"/>
      <c r="D17" s="51"/>
      <c r="E17" s="51"/>
    </row>
    <row r="18">
      <c r="A18" s="51"/>
      <c r="B18" s="52"/>
      <c r="C18" s="51"/>
      <c r="D18" s="51"/>
      <c r="E18" s="51"/>
    </row>
    <row r="19">
      <c r="A19" s="51"/>
      <c r="B19" s="52"/>
      <c r="C19" s="51"/>
      <c r="D19" s="51"/>
      <c r="E19" s="51"/>
    </row>
    <row r="20">
      <c r="A20" s="51"/>
      <c r="B20" s="52"/>
      <c r="C20" s="51"/>
      <c r="D20" s="51"/>
      <c r="E20" s="51"/>
    </row>
  </sheetData>
  <mergeCells count="7">
    <mergeCell ref="A1:E1"/>
    <mergeCell ref="A3:B3"/>
    <mergeCell ref="C3:E3"/>
    <mergeCell ref="A4:B4"/>
    <mergeCell ref="C4:E4"/>
    <mergeCell ref="A5:B5"/>
    <mergeCell ref="C5:E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36.63"/>
    <col customWidth="1" min="3" max="3" width="57.63"/>
    <col customWidth="1" min="4" max="4" width="59.13"/>
    <col customWidth="1" min="5" max="5" width="35.38"/>
    <col customWidth="1" min="6" max="26" width="19.0"/>
  </cols>
  <sheetData>
    <row r="1">
      <c r="A1" s="53" t="s">
        <v>49</v>
      </c>
      <c r="B1" s="54" t="s">
        <v>34</v>
      </c>
      <c r="C1" s="3"/>
      <c r="D1" s="3"/>
      <c r="E1" s="3"/>
      <c r="F1" s="4"/>
      <c r="G1" s="55"/>
      <c r="H1" s="55"/>
    </row>
    <row r="2">
      <c r="A2" s="53" t="s">
        <v>50</v>
      </c>
      <c r="B2" s="54" t="s">
        <v>51</v>
      </c>
      <c r="C2" s="3"/>
      <c r="D2" s="3"/>
      <c r="E2" s="3"/>
      <c r="F2" s="4"/>
      <c r="G2" s="55"/>
      <c r="H2" s="55"/>
    </row>
    <row r="3">
      <c r="A3" s="53" t="s">
        <v>52</v>
      </c>
      <c r="B3" s="56"/>
      <c r="C3" s="20"/>
      <c r="D3" s="20"/>
      <c r="E3" s="20"/>
      <c r="F3" s="21"/>
      <c r="G3" s="55"/>
      <c r="H3" s="55"/>
    </row>
    <row r="4">
      <c r="A4" s="57" t="s">
        <v>53</v>
      </c>
      <c r="B4" s="58" t="s">
        <v>54</v>
      </c>
      <c r="C4" s="58" t="s">
        <v>55</v>
      </c>
      <c r="D4" s="59" t="s">
        <v>56</v>
      </c>
      <c r="E4" s="60" t="s">
        <v>57</v>
      </c>
      <c r="F4" s="4"/>
      <c r="G4" s="61"/>
      <c r="H4" s="61"/>
    </row>
    <row r="5">
      <c r="A5" s="62">
        <v>7.0</v>
      </c>
      <c r="B5" s="63">
        <v>2.0</v>
      </c>
      <c r="C5" s="63">
        <v>0.0</v>
      </c>
      <c r="D5" s="63">
        <v>0.0</v>
      </c>
      <c r="E5" s="64">
        <v>9.0</v>
      </c>
      <c r="F5" s="4"/>
      <c r="G5" s="61"/>
      <c r="H5" s="61"/>
    </row>
    <row r="6">
      <c r="A6" s="8"/>
      <c r="B6" s="8"/>
      <c r="C6" s="8"/>
      <c r="D6" s="61"/>
      <c r="E6" s="61"/>
      <c r="F6" s="61"/>
      <c r="G6" s="61"/>
      <c r="H6" s="61"/>
    </row>
    <row r="7">
      <c r="A7" s="65" t="s">
        <v>58</v>
      </c>
      <c r="B7" s="65" t="s">
        <v>59</v>
      </c>
      <c r="C7" s="65" t="s">
        <v>60</v>
      </c>
      <c r="D7" s="65" t="s">
        <v>61</v>
      </c>
      <c r="E7" s="66" t="s">
        <v>62</v>
      </c>
      <c r="F7" s="66" t="s">
        <v>63</v>
      </c>
      <c r="G7" s="66" t="s">
        <v>64</v>
      </c>
      <c r="H7" s="65" t="s">
        <v>65</v>
      </c>
    </row>
    <row r="8">
      <c r="A8" s="67" t="s">
        <v>66</v>
      </c>
      <c r="B8" s="68" t="s">
        <v>67</v>
      </c>
      <c r="C8" s="67" t="s">
        <v>68</v>
      </c>
      <c r="D8" s="69" t="s">
        <v>69</v>
      </c>
      <c r="E8" s="70"/>
      <c r="F8" s="67" t="s">
        <v>53</v>
      </c>
      <c r="G8" s="70"/>
      <c r="H8" s="70"/>
    </row>
    <row r="9">
      <c r="A9" s="68" t="s">
        <v>70</v>
      </c>
      <c r="B9" s="68" t="s">
        <v>71</v>
      </c>
      <c r="C9" s="68" t="s">
        <v>72</v>
      </c>
      <c r="D9" s="68" t="s">
        <v>73</v>
      </c>
      <c r="E9" s="71"/>
      <c r="F9" s="68" t="s">
        <v>74</v>
      </c>
      <c r="G9" s="72"/>
      <c r="H9" s="68"/>
    </row>
    <row r="10">
      <c r="A10" s="68" t="s">
        <v>75</v>
      </c>
      <c r="B10" s="68" t="s">
        <v>76</v>
      </c>
      <c r="C10" s="68" t="s">
        <v>77</v>
      </c>
      <c r="D10" s="68" t="s">
        <v>78</v>
      </c>
      <c r="E10" s="71"/>
      <c r="F10" s="68" t="s">
        <v>79</v>
      </c>
      <c r="G10" s="72"/>
      <c r="H10" s="68"/>
    </row>
    <row r="11">
      <c r="A11" s="68" t="s">
        <v>80</v>
      </c>
      <c r="B11" s="68" t="s">
        <v>81</v>
      </c>
      <c r="C11" s="68" t="s">
        <v>82</v>
      </c>
      <c r="D11" s="68" t="s">
        <v>83</v>
      </c>
      <c r="E11" s="71"/>
      <c r="F11" s="68" t="s">
        <v>79</v>
      </c>
      <c r="G11" s="72"/>
      <c r="H11" s="68"/>
    </row>
    <row r="12">
      <c r="A12" s="68" t="s">
        <v>84</v>
      </c>
      <c r="B12" s="69" t="s">
        <v>85</v>
      </c>
      <c r="C12" s="68" t="s">
        <v>86</v>
      </c>
      <c r="D12" s="68" t="s">
        <v>87</v>
      </c>
      <c r="E12" s="71"/>
      <c r="F12" s="68" t="s">
        <v>74</v>
      </c>
      <c r="G12" s="72"/>
      <c r="H12" s="68"/>
    </row>
    <row r="13">
      <c r="A13" s="68" t="s">
        <v>88</v>
      </c>
      <c r="B13" s="68" t="s">
        <v>89</v>
      </c>
      <c r="C13" s="69" t="s">
        <v>90</v>
      </c>
      <c r="D13" s="68" t="s">
        <v>91</v>
      </c>
      <c r="E13" s="73"/>
      <c r="F13" s="68" t="s">
        <v>53</v>
      </c>
      <c r="G13" s="72"/>
      <c r="H13" s="68"/>
    </row>
    <row r="14">
      <c r="A14" s="68" t="s">
        <v>92</v>
      </c>
      <c r="B14" s="68" t="s">
        <v>93</v>
      </c>
      <c r="C14" s="68" t="s">
        <v>94</v>
      </c>
      <c r="D14" s="68" t="s">
        <v>95</v>
      </c>
      <c r="E14" s="73"/>
      <c r="F14" s="68" t="s">
        <v>74</v>
      </c>
      <c r="G14" s="72"/>
      <c r="H14" s="68"/>
    </row>
    <row r="15">
      <c r="A15" s="68" t="s">
        <v>96</v>
      </c>
      <c r="B15" s="68" t="s">
        <v>97</v>
      </c>
      <c r="C15" s="68" t="s">
        <v>98</v>
      </c>
      <c r="D15" s="68" t="s">
        <v>99</v>
      </c>
      <c r="E15" s="71"/>
      <c r="F15" s="68" t="s">
        <v>53</v>
      </c>
      <c r="G15" s="72"/>
      <c r="H15" s="68"/>
    </row>
    <row r="16">
      <c r="A16" s="68" t="s">
        <v>100</v>
      </c>
      <c r="B16" s="68" t="s">
        <v>101</v>
      </c>
      <c r="C16" s="68" t="s">
        <v>102</v>
      </c>
      <c r="D16" s="68" t="s">
        <v>103</v>
      </c>
      <c r="E16" s="71"/>
      <c r="F16" s="68" t="s">
        <v>74</v>
      </c>
      <c r="G16" s="72"/>
      <c r="H16" s="68"/>
    </row>
    <row r="17">
      <c r="A17" s="44"/>
      <c r="B17" s="45"/>
      <c r="C17" s="45"/>
      <c r="D17" s="45"/>
      <c r="E17" s="45"/>
      <c r="F17" s="74"/>
      <c r="G17" s="74"/>
    </row>
    <row r="18">
      <c r="A18" s="44"/>
      <c r="B18" s="45"/>
      <c r="C18" s="45"/>
      <c r="D18" s="45"/>
      <c r="E18" s="45"/>
    </row>
    <row r="19">
      <c r="A19" s="44"/>
      <c r="B19" s="45"/>
      <c r="C19" s="45"/>
      <c r="D19" s="45"/>
      <c r="E19" s="45"/>
    </row>
    <row r="20">
      <c r="A20" s="44"/>
      <c r="B20" s="45"/>
      <c r="C20" s="45"/>
      <c r="D20" s="45"/>
      <c r="E20" s="45"/>
    </row>
    <row r="21">
      <c r="A21" s="44"/>
      <c r="B21" s="45"/>
      <c r="C21" s="45"/>
      <c r="D21" s="45"/>
      <c r="E21" s="45"/>
    </row>
    <row r="22">
      <c r="E22" s="75" t="s">
        <v>104</v>
      </c>
    </row>
  </sheetData>
  <mergeCells count="5">
    <mergeCell ref="B1:F1"/>
    <mergeCell ref="B2:F2"/>
    <mergeCell ref="B3:F3"/>
    <mergeCell ref="E4:F4"/>
    <mergeCell ref="E5:F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5"/>
    <col customWidth="1" min="3" max="3" width="32.5"/>
    <col customWidth="1" min="4" max="4" width="28.13"/>
    <col customWidth="1" min="5" max="5" width="20.63"/>
    <col customWidth="1" min="7" max="7" width="44.63"/>
  </cols>
  <sheetData>
    <row r="1">
      <c r="A1" s="76"/>
      <c r="B1" s="77"/>
      <c r="C1" s="77"/>
      <c r="D1" s="77"/>
      <c r="E1" s="77"/>
      <c r="F1" s="78"/>
      <c r="G1" s="78"/>
    </row>
    <row r="2">
      <c r="A2" s="79" t="s">
        <v>49</v>
      </c>
      <c r="B2" s="80" t="s">
        <v>38</v>
      </c>
      <c r="C2" s="3"/>
      <c r="D2" s="3"/>
      <c r="E2" s="81"/>
      <c r="F2" s="78"/>
      <c r="G2" s="78"/>
    </row>
    <row r="3">
      <c r="A3" s="82" t="s">
        <v>50</v>
      </c>
      <c r="B3" s="83" t="s">
        <v>105</v>
      </c>
      <c r="C3" s="3"/>
      <c r="D3" s="3"/>
      <c r="E3" s="81"/>
      <c r="F3" s="78"/>
      <c r="G3" s="78"/>
    </row>
    <row r="4">
      <c r="A4" s="79" t="s">
        <v>52</v>
      </c>
      <c r="B4" s="84"/>
      <c r="C4" s="85"/>
      <c r="D4" s="85"/>
      <c r="E4" s="86"/>
      <c r="F4" s="78"/>
      <c r="G4" s="78"/>
    </row>
    <row r="5">
      <c r="A5" s="87" t="s">
        <v>53</v>
      </c>
      <c r="B5" s="88" t="s">
        <v>54</v>
      </c>
      <c r="C5" s="88" t="s">
        <v>55</v>
      </c>
      <c r="D5" s="89" t="s">
        <v>56</v>
      </c>
      <c r="E5" s="90" t="s">
        <v>57</v>
      </c>
      <c r="F5" s="78"/>
      <c r="G5" s="78"/>
    </row>
    <row r="6">
      <c r="A6" s="91">
        <f>COUNTIF(E9:E959,"Pass")</f>
        <v>12</v>
      </c>
      <c r="B6" s="92">
        <f>COUNTIF(E9:E959,"Fail")</f>
        <v>0</v>
      </c>
      <c r="C6" s="92">
        <f>E6-D6-B6-A6</f>
        <v>0</v>
      </c>
      <c r="D6" s="93">
        <f>COUNTIF(E$9:E$959,"N/A")</f>
        <v>0</v>
      </c>
      <c r="E6" s="94">
        <f>COUNTA(A9:A964)</f>
        <v>12</v>
      </c>
      <c r="F6" s="78"/>
      <c r="G6" s="78"/>
    </row>
    <row r="7">
      <c r="A7" s="78"/>
      <c r="B7" s="78"/>
      <c r="C7" s="78"/>
      <c r="D7" s="78"/>
      <c r="E7" s="78"/>
      <c r="F7" s="78"/>
      <c r="G7" s="78"/>
    </row>
    <row r="8">
      <c r="A8" s="95" t="s">
        <v>58</v>
      </c>
      <c r="B8" s="95" t="s">
        <v>59</v>
      </c>
      <c r="C8" s="95" t="s">
        <v>60</v>
      </c>
      <c r="D8" s="95" t="s">
        <v>61</v>
      </c>
      <c r="E8" s="96" t="s">
        <v>63</v>
      </c>
      <c r="F8" s="96" t="s">
        <v>106</v>
      </c>
      <c r="G8" s="95" t="s">
        <v>31</v>
      </c>
    </row>
    <row r="9">
      <c r="A9" s="97" t="s">
        <v>107</v>
      </c>
      <c r="B9" s="97" t="s">
        <v>108</v>
      </c>
      <c r="C9" s="97" t="s">
        <v>109</v>
      </c>
      <c r="D9" s="97" t="s">
        <v>110</v>
      </c>
      <c r="E9" s="97" t="s">
        <v>53</v>
      </c>
      <c r="F9" s="98">
        <v>45965.0</v>
      </c>
      <c r="G9" s="97" t="s">
        <v>111</v>
      </c>
    </row>
    <row r="10">
      <c r="A10" s="97" t="s">
        <v>112</v>
      </c>
      <c r="B10" s="97" t="s">
        <v>113</v>
      </c>
      <c r="C10" s="97" t="s">
        <v>114</v>
      </c>
      <c r="D10" s="97" t="s">
        <v>115</v>
      </c>
      <c r="E10" s="97" t="s">
        <v>53</v>
      </c>
      <c r="F10" s="98">
        <v>45965.0</v>
      </c>
      <c r="G10" s="97" t="s">
        <v>116</v>
      </c>
    </row>
    <row r="11">
      <c r="A11" s="97" t="s">
        <v>117</v>
      </c>
      <c r="B11" s="97" t="s">
        <v>118</v>
      </c>
      <c r="C11" s="97" t="s">
        <v>119</v>
      </c>
      <c r="D11" s="97" t="s">
        <v>120</v>
      </c>
      <c r="E11" s="97" t="s">
        <v>53</v>
      </c>
      <c r="F11" s="98">
        <v>45965.0</v>
      </c>
      <c r="G11" s="97" t="s">
        <v>121</v>
      </c>
    </row>
    <row r="12">
      <c r="A12" s="97" t="s">
        <v>122</v>
      </c>
      <c r="B12" s="97" t="s">
        <v>123</v>
      </c>
      <c r="C12" s="97" t="s">
        <v>124</v>
      </c>
      <c r="D12" s="97" t="s">
        <v>125</v>
      </c>
      <c r="E12" s="97" t="s">
        <v>53</v>
      </c>
      <c r="F12" s="98">
        <v>45965.0</v>
      </c>
      <c r="G12" s="97" t="s">
        <v>126</v>
      </c>
    </row>
    <row r="13">
      <c r="A13" s="99" t="s">
        <v>127</v>
      </c>
      <c r="B13" s="99" t="s">
        <v>128</v>
      </c>
      <c r="C13" s="99" t="s">
        <v>129</v>
      </c>
      <c r="D13" s="99" t="s">
        <v>130</v>
      </c>
      <c r="E13" s="100" t="s">
        <v>53</v>
      </c>
      <c r="F13" s="101">
        <v>45965.0</v>
      </c>
      <c r="G13" s="99" t="s">
        <v>131</v>
      </c>
    </row>
    <row r="14">
      <c r="A14" s="102" t="s">
        <v>132</v>
      </c>
      <c r="B14" s="102" t="s">
        <v>133</v>
      </c>
      <c r="C14" s="102" t="s">
        <v>134</v>
      </c>
      <c r="D14" s="102" t="s">
        <v>135</v>
      </c>
      <c r="E14" s="100" t="s">
        <v>53</v>
      </c>
      <c r="F14" s="103">
        <v>45965.0</v>
      </c>
      <c r="G14" s="102" t="s">
        <v>136</v>
      </c>
    </row>
    <row r="15">
      <c r="A15" s="102" t="s">
        <v>137</v>
      </c>
      <c r="B15" s="102" t="s">
        <v>138</v>
      </c>
      <c r="C15" s="102" t="s">
        <v>139</v>
      </c>
      <c r="D15" s="102" t="s">
        <v>140</v>
      </c>
      <c r="E15" s="100" t="s">
        <v>53</v>
      </c>
      <c r="F15" s="103">
        <v>45965.0</v>
      </c>
      <c r="G15" s="102" t="s">
        <v>141</v>
      </c>
    </row>
    <row r="16">
      <c r="A16" s="102" t="s">
        <v>142</v>
      </c>
      <c r="B16" s="102" t="s">
        <v>143</v>
      </c>
      <c r="C16" s="102" t="s">
        <v>144</v>
      </c>
      <c r="D16" s="102" t="s">
        <v>145</v>
      </c>
      <c r="E16" s="100" t="s">
        <v>53</v>
      </c>
      <c r="F16" s="103">
        <v>45965.0</v>
      </c>
      <c r="G16" s="102" t="s">
        <v>146</v>
      </c>
    </row>
    <row r="17">
      <c r="A17" s="102" t="s">
        <v>147</v>
      </c>
      <c r="B17" s="102" t="s">
        <v>148</v>
      </c>
      <c r="C17" s="102" t="s">
        <v>149</v>
      </c>
      <c r="D17" s="102" t="s">
        <v>150</v>
      </c>
      <c r="E17" s="100" t="s">
        <v>53</v>
      </c>
      <c r="F17" s="103">
        <v>45965.0</v>
      </c>
      <c r="G17" s="102" t="s">
        <v>151</v>
      </c>
    </row>
    <row r="18">
      <c r="A18" s="102" t="s">
        <v>152</v>
      </c>
      <c r="B18" s="102" t="s">
        <v>153</v>
      </c>
      <c r="C18" s="102" t="s">
        <v>154</v>
      </c>
      <c r="D18" s="102" t="s">
        <v>155</v>
      </c>
      <c r="E18" s="100" t="s">
        <v>53</v>
      </c>
      <c r="F18" s="103">
        <v>45965.0</v>
      </c>
      <c r="G18" s="102" t="s">
        <v>156</v>
      </c>
    </row>
    <row r="19">
      <c r="A19" s="102" t="s">
        <v>157</v>
      </c>
      <c r="B19" s="102" t="s">
        <v>158</v>
      </c>
      <c r="C19" s="102" t="s">
        <v>159</v>
      </c>
      <c r="D19" s="102" t="s">
        <v>160</v>
      </c>
      <c r="E19" s="100" t="s">
        <v>53</v>
      </c>
      <c r="F19" s="103">
        <v>45965.0</v>
      </c>
      <c r="G19" s="102" t="s">
        <v>161</v>
      </c>
      <c r="H19" s="104" t="s">
        <v>162</v>
      </c>
    </row>
    <row r="20">
      <c r="A20" s="105" t="s">
        <v>163</v>
      </c>
      <c r="B20" s="99" t="s">
        <v>164</v>
      </c>
      <c r="C20" s="106" t="s">
        <v>165</v>
      </c>
      <c r="D20" s="107" t="s">
        <v>166</v>
      </c>
      <c r="E20" s="100" t="s">
        <v>53</v>
      </c>
      <c r="F20" s="108">
        <v>45965.0</v>
      </c>
      <c r="G20" s="109" t="s">
        <v>167</v>
      </c>
    </row>
  </sheetData>
  <mergeCells count="3">
    <mergeCell ref="B2:E2"/>
    <mergeCell ref="B3:E3"/>
    <mergeCell ref="B4:E4"/>
  </mergeCells>
  <dataValidations>
    <dataValidation type="list" allowBlank="1" showInputMessage="1" showErrorMessage="1" prompt="Nhấp và nhập một giá trị từ danh sách các mục" sqref="E1 E7:E20">
      <formula1>"Pass,Fail,Untesed,N/A"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36.63"/>
    <col customWidth="1" min="3" max="3" width="57.63"/>
    <col customWidth="1" min="4" max="4" width="59.13"/>
    <col customWidth="1" min="5" max="5" width="35.38"/>
    <col customWidth="1" min="6" max="26" width="19.0"/>
  </cols>
  <sheetData>
    <row r="1">
      <c r="A1" s="53" t="s">
        <v>49</v>
      </c>
      <c r="B1" s="54" t="s">
        <v>42</v>
      </c>
      <c r="C1" s="3"/>
      <c r="D1" s="3"/>
      <c r="E1" s="3"/>
      <c r="F1" s="4"/>
      <c r="G1" s="55"/>
      <c r="H1" s="55"/>
    </row>
    <row r="2">
      <c r="A2" s="53" t="s">
        <v>50</v>
      </c>
      <c r="B2" s="54" t="s">
        <v>168</v>
      </c>
      <c r="C2" s="3"/>
      <c r="D2" s="3"/>
      <c r="E2" s="3"/>
      <c r="F2" s="4"/>
      <c r="G2" s="55"/>
      <c r="H2" s="55"/>
    </row>
    <row r="3">
      <c r="A3" s="53" t="s">
        <v>52</v>
      </c>
      <c r="B3" s="56"/>
      <c r="C3" s="20"/>
      <c r="D3" s="20"/>
      <c r="E3" s="20"/>
      <c r="F3" s="21"/>
      <c r="G3" s="55"/>
      <c r="H3" s="55"/>
    </row>
    <row r="4">
      <c r="A4" s="57" t="s">
        <v>53</v>
      </c>
      <c r="B4" s="58" t="s">
        <v>54</v>
      </c>
      <c r="C4" s="58" t="s">
        <v>55</v>
      </c>
      <c r="D4" s="59" t="s">
        <v>56</v>
      </c>
      <c r="E4" s="60" t="s">
        <v>57</v>
      </c>
      <c r="F4" s="4"/>
      <c r="G4" s="61"/>
      <c r="H4" s="61"/>
    </row>
    <row r="5">
      <c r="A5" s="62">
        <v>0.0</v>
      </c>
      <c r="B5" s="63">
        <v>0.0</v>
      </c>
      <c r="C5" s="63">
        <v>0.0</v>
      </c>
      <c r="D5" s="63">
        <v>0.0</v>
      </c>
      <c r="E5" s="64">
        <v>6.0</v>
      </c>
      <c r="F5" s="4"/>
      <c r="G5" s="61"/>
      <c r="H5" s="61"/>
    </row>
    <row r="6">
      <c r="A6" s="8"/>
      <c r="B6" s="8"/>
      <c r="C6" s="8"/>
      <c r="D6" s="61"/>
      <c r="E6" s="61"/>
      <c r="F6" s="61"/>
      <c r="G6" s="61"/>
      <c r="H6" s="61"/>
    </row>
    <row r="7">
      <c r="A7" s="65" t="s">
        <v>58</v>
      </c>
      <c r="B7" s="65" t="s">
        <v>59</v>
      </c>
      <c r="C7" s="65" t="s">
        <v>60</v>
      </c>
      <c r="D7" s="65" t="s">
        <v>61</v>
      </c>
      <c r="E7" s="66" t="s">
        <v>62</v>
      </c>
      <c r="F7" s="66" t="s">
        <v>63</v>
      </c>
      <c r="G7" s="66" t="s">
        <v>64</v>
      </c>
      <c r="H7" s="65" t="s">
        <v>65</v>
      </c>
    </row>
    <row r="8">
      <c r="A8" s="67" t="s">
        <v>169</v>
      </c>
      <c r="B8" s="68" t="s">
        <v>170</v>
      </c>
      <c r="C8" s="67" t="s">
        <v>171</v>
      </c>
      <c r="D8" s="69" t="s">
        <v>172</v>
      </c>
      <c r="E8" s="70"/>
      <c r="F8" s="67" t="s">
        <v>53</v>
      </c>
      <c r="G8" s="70"/>
      <c r="H8" s="70"/>
    </row>
    <row r="9">
      <c r="A9" s="68" t="s">
        <v>173</v>
      </c>
      <c r="B9" s="68" t="s">
        <v>174</v>
      </c>
      <c r="C9" s="68" t="s">
        <v>175</v>
      </c>
      <c r="D9" s="68" t="s">
        <v>176</v>
      </c>
      <c r="E9" s="71"/>
      <c r="F9" s="68" t="s">
        <v>53</v>
      </c>
      <c r="G9" s="72"/>
      <c r="H9" s="68"/>
    </row>
    <row r="10">
      <c r="A10" s="68" t="s">
        <v>177</v>
      </c>
      <c r="B10" s="68" t="s">
        <v>178</v>
      </c>
      <c r="C10" s="68" t="s">
        <v>179</v>
      </c>
      <c r="D10" s="68" t="s">
        <v>180</v>
      </c>
      <c r="E10" s="71"/>
      <c r="F10" s="68" t="s">
        <v>53</v>
      </c>
      <c r="G10" s="72"/>
      <c r="H10" s="68"/>
    </row>
    <row r="11">
      <c r="A11" s="68" t="s">
        <v>181</v>
      </c>
      <c r="B11" s="68" t="s">
        <v>182</v>
      </c>
      <c r="C11" s="68" t="s">
        <v>183</v>
      </c>
      <c r="D11" s="68" t="s">
        <v>184</v>
      </c>
      <c r="E11" s="71"/>
      <c r="F11" s="68" t="s">
        <v>53</v>
      </c>
      <c r="G11" s="72"/>
      <c r="H11" s="68"/>
    </row>
    <row r="12">
      <c r="A12" s="68" t="s">
        <v>185</v>
      </c>
      <c r="B12" s="69" t="s">
        <v>186</v>
      </c>
      <c r="C12" s="68" t="s">
        <v>187</v>
      </c>
      <c r="D12" s="68" t="s">
        <v>188</v>
      </c>
      <c r="E12" s="71"/>
      <c r="F12" s="68" t="s">
        <v>53</v>
      </c>
      <c r="G12" s="72"/>
      <c r="H12" s="68"/>
    </row>
    <row r="13">
      <c r="A13" s="110" t="s">
        <v>189</v>
      </c>
      <c r="B13" s="110" t="s">
        <v>190</v>
      </c>
      <c r="C13" s="111" t="s">
        <v>191</v>
      </c>
      <c r="D13" s="110" t="s">
        <v>192</v>
      </c>
      <c r="E13" s="112"/>
      <c r="F13" s="110"/>
      <c r="G13" s="113"/>
      <c r="H13" s="110"/>
    </row>
    <row r="14">
      <c r="A14" s="114"/>
      <c r="B14" s="114"/>
      <c r="C14" s="114"/>
      <c r="D14" s="114"/>
      <c r="E14" s="115"/>
      <c r="F14" s="114"/>
      <c r="G14" s="116"/>
      <c r="H14" s="114"/>
    </row>
    <row r="15">
      <c r="A15" s="117"/>
      <c r="B15" s="117"/>
      <c r="C15" s="117"/>
      <c r="D15" s="117"/>
      <c r="E15" s="118"/>
      <c r="F15" s="117"/>
      <c r="G15" s="119"/>
      <c r="H15" s="117"/>
    </row>
    <row r="16">
      <c r="A16" s="117"/>
      <c r="B16" s="117"/>
      <c r="C16" s="117"/>
      <c r="D16" s="117"/>
      <c r="E16" s="118"/>
      <c r="F16" s="117"/>
      <c r="G16" s="119"/>
      <c r="H16" s="117"/>
    </row>
    <row r="17">
      <c r="A17" s="44"/>
      <c r="B17" s="45"/>
      <c r="C17" s="45"/>
      <c r="D17" s="45"/>
      <c r="E17" s="45"/>
      <c r="F17" s="74"/>
      <c r="G17" s="74"/>
    </row>
    <row r="18">
      <c r="A18" s="44"/>
      <c r="B18" s="45"/>
      <c r="C18" s="45"/>
      <c r="D18" s="45"/>
      <c r="E18" s="45"/>
    </row>
    <row r="19">
      <c r="A19" s="44"/>
      <c r="B19" s="45"/>
      <c r="C19" s="45"/>
      <c r="D19" s="45"/>
      <c r="E19" s="45"/>
    </row>
    <row r="20">
      <c r="A20" s="44"/>
      <c r="B20" s="45"/>
      <c r="C20" s="45"/>
      <c r="D20" s="45"/>
      <c r="E20" s="45"/>
    </row>
    <row r="21">
      <c r="A21" s="44"/>
      <c r="B21" s="45"/>
      <c r="C21" s="45"/>
      <c r="D21" s="45"/>
      <c r="E21" s="45"/>
    </row>
  </sheetData>
  <mergeCells count="5">
    <mergeCell ref="B1:F1"/>
    <mergeCell ref="B2:F2"/>
    <mergeCell ref="B3:F3"/>
    <mergeCell ref="E4:F4"/>
    <mergeCell ref="E5:F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5"/>
    <col customWidth="1" min="3" max="3" width="27.88"/>
    <col customWidth="1" min="4" max="4" width="25.0"/>
    <col customWidth="1" min="7" max="7" width="21.25"/>
  </cols>
  <sheetData>
    <row r="1">
      <c r="A1" s="76"/>
      <c r="B1" s="77"/>
      <c r="C1" s="77"/>
      <c r="D1" s="77"/>
      <c r="E1" s="77"/>
      <c r="F1" s="78"/>
      <c r="G1" s="78"/>
      <c r="H1" s="120"/>
      <c r="I1" s="120"/>
      <c r="J1" s="120"/>
      <c r="K1" s="121"/>
      <c r="L1" s="122"/>
      <c r="M1" s="122"/>
      <c r="N1" s="78"/>
      <c r="O1" s="78"/>
      <c r="P1" s="78"/>
      <c r="Q1" s="78"/>
      <c r="R1" s="78"/>
      <c r="S1" s="78"/>
      <c r="T1" s="78"/>
      <c r="U1" s="78"/>
      <c r="V1" s="78"/>
      <c r="W1" s="78"/>
      <c r="X1" s="78"/>
      <c r="Y1" s="78"/>
      <c r="Z1" s="78"/>
    </row>
    <row r="2">
      <c r="A2" s="79" t="s">
        <v>49</v>
      </c>
      <c r="B2" s="80" t="s">
        <v>46</v>
      </c>
      <c r="C2" s="3"/>
      <c r="D2" s="3"/>
      <c r="E2" s="81"/>
      <c r="F2" s="78"/>
      <c r="G2" s="78"/>
      <c r="H2" s="120"/>
      <c r="I2" s="120"/>
      <c r="J2" s="123"/>
      <c r="K2" s="121"/>
      <c r="L2" s="122"/>
      <c r="M2" s="122"/>
      <c r="N2" s="78"/>
      <c r="O2" s="78"/>
      <c r="P2" s="78"/>
      <c r="Q2" s="78"/>
      <c r="R2" s="78"/>
      <c r="S2" s="78"/>
      <c r="T2" s="78"/>
      <c r="U2" s="78"/>
      <c r="V2" s="78"/>
      <c r="W2" s="78"/>
      <c r="X2" s="78"/>
      <c r="Y2" s="78"/>
      <c r="Z2" s="78"/>
    </row>
    <row r="3">
      <c r="A3" s="82" t="s">
        <v>50</v>
      </c>
      <c r="B3" s="83" t="s">
        <v>105</v>
      </c>
      <c r="C3" s="3"/>
      <c r="D3" s="3"/>
      <c r="E3" s="81"/>
      <c r="F3" s="78"/>
      <c r="G3" s="78"/>
      <c r="H3" s="120"/>
      <c r="I3" s="120"/>
      <c r="J3" s="123"/>
      <c r="K3" s="121"/>
      <c r="L3" s="122"/>
      <c r="M3" s="122"/>
      <c r="N3" s="78"/>
      <c r="O3" s="78"/>
      <c r="P3" s="78"/>
      <c r="Q3" s="78"/>
      <c r="R3" s="78"/>
      <c r="S3" s="78"/>
      <c r="T3" s="78"/>
      <c r="U3" s="78"/>
      <c r="V3" s="78"/>
      <c r="W3" s="78"/>
      <c r="X3" s="78"/>
      <c r="Y3" s="78"/>
      <c r="Z3" s="78"/>
    </row>
    <row r="4">
      <c r="A4" s="79" t="s">
        <v>52</v>
      </c>
      <c r="B4" s="84"/>
      <c r="C4" s="85"/>
      <c r="D4" s="85"/>
      <c r="E4" s="86"/>
      <c r="F4" s="78"/>
      <c r="G4" s="78"/>
      <c r="H4" s="120"/>
      <c r="I4" s="120"/>
      <c r="J4" s="120"/>
      <c r="K4" s="121"/>
      <c r="L4" s="122"/>
      <c r="M4" s="122"/>
      <c r="N4" s="78"/>
      <c r="O4" s="78"/>
      <c r="P4" s="78"/>
      <c r="Q4" s="78"/>
      <c r="R4" s="78"/>
      <c r="S4" s="78"/>
      <c r="T4" s="78"/>
      <c r="U4" s="78"/>
      <c r="V4" s="78"/>
      <c r="W4" s="78"/>
      <c r="X4" s="78"/>
      <c r="Y4" s="78"/>
      <c r="Z4" s="78"/>
    </row>
    <row r="5">
      <c r="A5" s="87" t="s">
        <v>53</v>
      </c>
      <c r="B5" s="88" t="s">
        <v>54</v>
      </c>
      <c r="C5" s="88" t="s">
        <v>55</v>
      </c>
      <c r="D5" s="89" t="s">
        <v>56</v>
      </c>
      <c r="E5" s="90" t="s">
        <v>57</v>
      </c>
      <c r="F5" s="78"/>
      <c r="G5" s="78"/>
      <c r="H5" s="120"/>
      <c r="I5" s="120"/>
      <c r="J5" s="123"/>
      <c r="K5" s="121"/>
      <c r="L5" s="122"/>
      <c r="M5" s="122"/>
      <c r="N5" s="78"/>
      <c r="O5" s="78"/>
      <c r="P5" s="78"/>
      <c r="Q5" s="78"/>
      <c r="R5" s="78"/>
      <c r="S5" s="78"/>
      <c r="T5" s="78"/>
      <c r="U5" s="78"/>
      <c r="V5" s="78"/>
      <c r="W5" s="78"/>
      <c r="X5" s="78"/>
      <c r="Y5" s="78"/>
      <c r="Z5" s="78"/>
    </row>
    <row r="6">
      <c r="A6" s="91">
        <f>COUNTIF(E9:E993,"Pass")</f>
        <v>2</v>
      </c>
      <c r="B6" s="92">
        <f>COUNTIF(E9:E993,"Fail")</f>
        <v>0</v>
      </c>
      <c r="C6" s="92">
        <f>E6-D6-B6-A6</f>
        <v>0</v>
      </c>
      <c r="D6" s="93">
        <f>COUNTIF(E$9:E$993,"N/A")</f>
        <v>0</v>
      </c>
      <c r="E6" s="94">
        <f>COUNTA(A9:A998)</f>
        <v>2</v>
      </c>
      <c r="F6" s="78"/>
      <c r="G6" s="78"/>
      <c r="H6" s="120"/>
      <c r="I6" s="120"/>
      <c r="J6" s="123"/>
      <c r="K6" s="121"/>
      <c r="L6" s="122"/>
      <c r="M6" s="122"/>
      <c r="N6" s="78"/>
      <c r="O6" s="78"/>
      <c r="P6" s="78"/>
      <c r="Q6" s="78"/>
      <c r="R6" s="78"/>
      <c r="S6" s="78"/>
      <c r="T6" s="78"/>
      <c r="U6" s="78"/>
      <c r="V6" s="78"/>
      <c r="W6" s="78"/>
      <c r="X6" s="78"/>
      <c r="Y6" s="78"/>
      <c r="Z6" s="78"/>
    </row>
    <row r="7">
      <c r="A7" s="78"/>
      <c r="B7" s="78"/>
      <c r="C7" s="78"/>
      <c r="D7" s="78"/>
      <c r="E7" s="78"/>
      <c r="F7" s="78"/>
      <c r="G7" s="78"/>
      <c r="H7" s="120"/>
      <c r="I7" s="120"/>
      <c r="J7" s="120"/>
      <c r="K7" s="121"/>
      <c r="L7" s="122"/>
      <c r="M7" s="122"/>
      <c r="N7" s="78"/>
      <c r="O7" s="78"/>
      <c r="P7" s="78"/>
      <c r="Q7" s="78"/>
      <c r="R7" s="78"/>
      <c r="S7" s="78"/>
      <c r="T7" s="78"/>
      <c r="U7" s="78"/>
      <c r="V7" s="78"/>
      <c r="W7" s="78"/>
      <c r="X7" s="78"/>
      <c r="Y7" s="78"/>
      <c r="Z7" s="78"/>
    </row>
    <row r="8">
      <c r="A8" s="95" t="s">
        <v>58</v>
      </c>
      <c r="B8" s="95" t="s">
        <v>59</v>
      </c>
      <c r="C8" s="95" t="s">
        <v>60</v>
      </c>
      <c r="D8" s="95" t="s">
        <v>61</v>
      </c>
      <c r="E8" s="96" t="s">
        <v>63</v>
      </c>
      <c r="F8" s="96" t="s">
        <v>106</v>
      </c>
      <c r="G8" s="95" t="s">
        <v>31</v>
      </c>
      <c r="H8" s="124"/>
      <c r="I8" s="125"/>
      <c r="J8" s="120"/>
      <c r="K8" s="121"/>
      <c r="L8" s="122"/>
      <c r="M8" s="122"/>
      <c r="N8" s="78"/>
      <c r="O8" s="78"/>
      <c r="P8" s="78"/>
      <c r="Q8" s="78"/>
      <c r="R8" s="78"/>
      <c r="S8" s="78"/>
      <c r="T8" s="78"/>
      <c r="U8" s="78"/>
      <c r="V8" s="78"/>
      <c r="W8" s="78"/>
      <c r="X8" s="78"/>
      <c r="Y8" s="78"/>
      <c r="Z8" s="78"/>
    </row>
    <row r="9">
      <c r="A9" s="126" t="s">
        <v>193</v>
      </c>
      <c r="B9" s="126" t="s">
        <v>194</v>
      </c>
      <c r="C9" s="127" t="s">
        <v>195</v>
      </c>
      <c r="D9" s="126" t="s">
        <v>196</v>
      </c>
      <c r="E9" s="126" t="s">
        <v>53</v>
      </c>
      <c r="F9" s="128">
        <v>45965.0</v>
      </c>
      <c r="G9" s="126" t="s">
        <v>197</v>
      </c>
      <c r="H9" s="129"/>
      <c r="I9" s="130"/>
      <c r="J9" s="130"/>
      <c r="K9" s="131"/>
      <c r="L9" s="132"/>
      <c r="M9" s="132"/>
      <c r="N9" s="133"/>
      <c r="O9" s="133"/>
      <c r="P9" s="133"/>
      <c r="Q9" s="133"/>
      <c r="R9" s="133"/>
      <c r="S9" s="133"/>
      <c r="T9" s="133"/>
      <c r="U9" s="133"/>
      <c r="V9" s="133"/>
      <c r="W9" s="133"/>
      <c r="X9" s="133"/>
      <c r="Y9" s="133"/>
      <c r="Z9" s="133"/>
    </row>
    <row r="10">
      <c r="A10" s="126" t="s">
        <v>112</v>
      </c>
      <c r="B10" s="126" t="s">
        <v>198</v>
      </c>
      <c r="C10" s="126" t="s">
        <v>199</v>
      </c>
      <c r="D10" s="126" t="s">
        <v>200</v>
      </c>
      <c r="E10" s="126" t="s">
        <v>53</v>
      </c>
      <c r="F10" s="128">
        <v>45965.0</v>
      </c>
      <c r="G10" s="126" t="s">
        <v>201</v>
      </c>
      <c r="H10" s="129"/>
      <c r="I10" s="130"/>
      <c r="J10" s="130"/>
      <c r="K10" s="131"/>
      <c r="L10" s="132"/>
      <c r="M10" s="132"/>
      <c r="N10" s="133"/>
      <c r="O10" s="133"/>
      <c r="P10" s="133"/>
      <c r="Q10" s="133"/>
      <c r="R10" s="133"/>
      <c r="S10" s="133"/>
      <c r="T10" s="133"/>
      <c r="U10" s="133"/>
      <c r="V10" s="133"/>
      <c r="W10" s="133"/>
      <c r="X10" s="133"/>
      <c r="Y10" s="133"/>
      <c r="Z10" s="133"/>
    </row>
    <row r="11">
      <c r="A11" s="130"/>
      <c r="B11" s="130"/>
      <c r="C11" s="120"/>
      <c r="D11" s="121"/>
      <c r="E11" s="122"/>
      <c r="F11" s="122"/>
      <c r="G11" s="78"/>
      <c r="H11" s="78"/>
      <c r="I11" s="78"/>
      <c r="J11" s="78"/>
      <c r="K11" s="78"/>
      <c r="L11" s="78"/>
      <c r="M11" s="78"/>
      <c r="N11" s="78"/>
      <c r="O11" s="78"/>
      <c r="P11" s="78"/>
      <c r="Q11" s="78"/>
      <c r="R11" s="78"/>
      <c r="S11" s="78"/>
    </row>
    <row r="12">
      <c r="A12" s="130"/>
      <c r="B12" s="130"/>
      <c r="C12" s="120"/>
      <c r="D12" s="121"/>
      <c r="E12" s="122"/>
      <c r="F12" s="122"/>
      <c r="G12" s="78"/>
      <c r="H12" s="78"/>
      <c r="I12" s="78"/>
      <c r="J12" s="78"/>
      <c r="K12" s="78"/>
      <c r="L12" s="78"/>
      <c r="M12" s="78"/>
      <c r="N12" s="78"/>
      <c r="O12" s="78"/>
      <c r="P12" s="78"/>
      <c r="Q12" s="78"/>
      <c r="R12" s="78"/>
      <c r="S12" s="78"/>
    </row>
    <row r="13">
      <c r="A13" s="125"/>
      <c r="B13" s="125"/>
      <c r="C13" s="120"/>
      <c r="D13" s="121"/>
      <c r="E13" s="122"/>
      <c r="F13" s="122"/>
      <c r="G13" s="78"/>
      <c r="H13" s="78"/>
      <c r="I13" s="78"/>
      <c r="J13" s="78"/>
      <c r="K13" s="78"/>
      <c r="L13" s="78"/>
      <c r="M13" s="78"/>
      <c r="N13" s="78"/>
      <c r="O13" s="78"/>
      <c r="P13" s="78"/>
      <c r="Q13" s="78"/>
      <c r="R13" s="78"/>
      <c r="S13" s="78"/>
    </row>
    <row r="14">
      <c r="A14" s="134"/>
      <c r="B14" s="134"/>
      <c r="C14" s="130"/>
      <c r="D14" s="130"/>
      <c r="E14" s="130"/>
      <c r="F14" s="130"/>
      <c r="G14" s="130"/>
      <c r="H14" s="130"/>
      <c r="I14" s="130"/>
      <c r="J14" s="120"/>
      <c r="K14" s="121"/>
      <c r="L14" s="122"/>
      <c r="M14" s="122"/>
      <c r="N14" s="78"/>
      <c r="O14" s="78"/>
      <c r="P14" s="78"/>
      <c r="Q14" s="78"/>
      <c r="R14" s="78"/>
      <c r="S14" s="78"/>
      <c r="T14" s="78"/>
      <c r="U14" s="78"/>
      <c r="V14" s="78"/>
      <c r="W14" s="78"/>
      <c r="X14" s="78"/>
      <c r="Y14" s="78"/>
      <c r="Z14" s="78"/>
    </row>
    <row r="15">
      <c r="A15" s="130"/>
      <c r="B15" s="120"/>
      <c r="C15" s="120"/>
      <c r="D15" s="120"/>
      <c r="E15" s="120"/>
      <c r="F15" s="121"/>
      <c r="G15" s="122"/>
      <c r="H15" s="122"/>
      <c r="I15" s="78"/>
      <c r="J15" s="78"/>
      <c r="K15" s="78"/>
      <c r="L15" s="78"/>
      <c r="M15" s="78"/>
      <c r="N15" s="78"/>
      <c r="O15" s="78"/>
      <c r="P15" s="78"/>
      <c r="Q15" s="78"/>
      <c r="R15" s="78"/>
      <c r="S15" s="78"/>
      <c r="T15" s="78"/>
      <c r="U15" s="78"/>
    </row>
    <row r="16">
      <c r="A16" s="125"/>
      <c r="B16" s="125"/>
      <c r="C16" s="125"/>
      <c r="D16" s="125"/>
      <c r="E16" s="120"/>
      <c r="F16" s="121"/>
      <c r="G16" s="122"/>
      <c r="H16" s="122"/>
      <c r="I16" s="78"/>
      <c r="J16" s="78"/>
      <c r="K16" s="78"/>
      <c r="L16" s="78"/>
      <c r="M16" s="78"/>
      <c r="N16" s="78"/>
      <c r="O16" s="78"/>
      <c r="P16" s="78"/>
      <c r="Q16" s="78"/>
      <c r="R16" s="78"/>
      <c r="S16" s="78"/>
      <c r="T16" s="78"/>
      <c r="U16" s="78"/>
    </row>
    <row r="17">
      <c r="A17" s="130"/>
      <c r="B17" s="130"/>
      <c r="C17" s="130"/>
      <c r="D17" s="130"/>
      <c r="E17" s="120"/>
      <c r="F17" s="121"/>
      <c r="G17" s="122"/>
      <c r="H17" s="122"/>
      <c r="I17" s="78"/>
      <c r="J17" s="78"/>
      <c r="K17" s="78"/>
      <c r="L17" s="78"/>
      <c r="M17" s="78"/>
      <c r="N17" s="78"/>
      <c r="O17" s="78"/>
      <c r="P17" s="78"/>
      <c r="Q17" s="78"/>
      <c r="R17" s="78"/>
      <c r="S17" s="78"/>
      <c r="T17" s="78"/>
      <c r="U17" s="78"/>
    </row>
    <row r="18">
      <c r="A18" s="120"/>
      <c r="B18" s="120"/>
      <c r="C18" s="120"/>
      <c r="D18" s="120"/>
      <c r="E18" s="120"/>
      <c r="F18" s="120"/>
      <c r="G18" s="120"/>
      <c r="H18" s="120"/>
      <c r="I18" s="120"/>
      <c r="J18" s="120"/>
      <c r="K18" s="121"/>
      <c r="L18" s="122"/>
      <c r="M18" s="122"/>
      <c r="N18" s="78"/>
      <c r="O18" s="78"/>
      <c r="P18" s="78"/>
      <c r="Q18" s="78"/>
      <c r="R18" s="78"/>
      <c r="S18" s="78"/>
      <c r="T18" s="78"/>
      <c r="U18" s="78"/>
      <c r="V18" s="78"/>
      <c r="W18" s="78"/>
      <c r="X18" s="78"/>
      <c r="Y18" s="78"/>
      <c r="Z18" s="78"/>
    </row>
    <row r="19">
      <c r="A19" s="120"/>
      <c r="B19" s="120"/>
      <c r="C19" s="120"/>
      <c r="D19" s="120"/>
      <c r="E19" s="120"/>
      <c r="F19" s="120"/>
      <c r="G19" s="120"/>
      <c r="H19" s="120"/>
      <c r="I19" s="120"/>
      <c r="J19" s="120"/>
      <c r="K19" s="121"/>
      <c r="L19" s="122"/>
      <c r="M19" s="122"/>
      <c r="N19" s="78"/>
      <c r="O19" s="78"/>
      <c r="P19" s="78"/>
      <c r="Q19" s="78"/>
      <c r="R19" s="78"/>
      <c r="S19" s="78"/>
      <c r="T19" s="78"/>
      <c r="U19" s="78"/>
      <c r="V19" s="78"/>
      <c r="W19" s="78"/>
      <c r="X19" s="78"/>
      <c r="Y19" s="78"/>
      <c r="Z19" s="78"/>
    </row>
    <row r="20">
      <c r="A20" s="120"/>
      <c r="B20" s="120"/>
      <c r="C20" s="120"/>
      <c r="D20" s="120"/>
      <c r="E20" s="120"/>
      <c r="F20" s="120"/>
      <c r="G20" s="120"/>
      <c r="H20" s="120"/>
      <c r="I20" s="120"/>
      <c r="J20" s="120"/>
      <c r="K20" s="121"/>
      <c r="L20" s="122"/>
      <c r="M20" s="122"/>
      <c r="N20" s="78"/>
      <c r="O20" s="78"/>
      <c r="P20" s="78"/>
      <c r="Q20" s="78"/>
      <c r="R20" s="78"/>
      <c r="S20" s="78"/>
      <c r="T20" s="78"/>
      <c r="U20" s="78"/>
      <c r="V20" s="78"/>
      <c r="W20" s="78"/>
      <c r="X20" s="78"/>
      <c r="Y20" s="78"/>
      <c r="Z20" s="78"/>
    </row>
    <row r="21">
      <c r="A21" s="135"/>
      <c r="B21" s="135"/>
      <c r="C21" s="135"/>
      <c r="D21" s="135"/>
      <c r="E21" s="135"/>
      <c r="F21" s="135"/>
      <c r="G21" s="135"/>
      <c r="H21" s="135"/>
      <c r="I21" s="135"/>
      <c r="J21" s="135"/>
      <c r="K21" s="122"/>
      <c r="L21" s="122"/>
      <c r="M21" s="122"/>
      <c r="N21" s="78"/>
      <c r="O21" s="78"/>
      <c r="P21" s="78"/>
      <c r="Q21" s="78"/>
      <c r="R21" s="78"/>
      <c r="S21" s="78"/>
      <c r="T21" s="78"/>
      <c r="U21" s="78"/>
      <c r="V21" s="78"/>
      <c r="W21" s="78"/>
      <c r="X21" s="78"/>
      <c r="Y21" s="78"/>
      <c r="Z21" s="78"/>
    </row>
    <row r="22">
      <c r="A22" s="122"/>
      <c r="B22" s="122"/>
      <c r="C22" s="122"/>
      <c r="D22" s="122"/>
      <c r="E22" s="122"/>
      <c r="F22" s="122"/>
      <c r="G22" s="122"/>
      <c r="H22" s="122"/>
      <c r="I22" s="122"/>
      <c r="J22" s="122"/>
      <c r="K22" s="122"/>
      <c r="L22" s="122"/>
      <c r="M22" s="122"/>
      <c r="N22" s="78"/>
      <c r="O22" s="78"/>
      <c r="P22" s="78"/>
      <c r="Q22" s="78"/>
      <c r="R22" s="78"/>
      <c r="S22" s="78"/>
      <c r="T22" s="78"/>
      <c r="U22" s="78"/>
      <c r="V22" s="78"/>
      <c r="W22" s="78"/>
      <c r="X22" s="78"/>
      <c r="Y22" s="78"/>
      <c r="Z22" s="78"/>
    </row>
    <row r="23">
      <c r="A23" s="122"/>
      <c r="B23" s="122"/>
      <c r="C23" s="122"/>
      <c r="D23" s="122"/>
      <c r="E23" s="122"/>
      <c r="F23" s="122"/>
      <c r="G23" s="122"/>
      <c r="H23" s="122"/>
      <c r="I23" s="122"/>
      <c r="J23" s="122"/>
      <c r="K23" s="122"/>
      <c r="L23" s="122"/>
      <c r="M23" s="122"/>
      <c r="N23" s="78"/>
      <c r="O23" s="78"/>
      <c r="P23" s="78"/>
      <c r="Q23" s="78"/>
      <c r="R23" s="78"/>
      <c r="S23" s="78"/>
      <c r="T23" s="78"/>
      <c r="U23" s="78"/>
      <c r="V23" s="78"/>
      <c r="W23" s="78"/>
      <c r="X23" s="78"/>
      <c r="Y23" s="78"/>
      <c r="Z23" s="78"/>
    </row>
    <row r="24">
      <c r="A24" s="122"/>
      <c r="B24" s="122"/>
      <c r="C24" s="122"/>
      <c r="D24" s="122"/>
      <c r="E24" s="122"/>
      <c r="F24" s="122"/>
      <c r="G24" s="122"/>
      <c r="H24" s="122"/>
      <c r="I24" s="122"/>
      <c r="J24" s="122"/>
      <c r="K24" s="122"/>
      <c r="L24" s="122"/>
      <c r="M24" s="122"/>
      <c r="N24" s="78"/>
      <c r="O24" s="78"/>
      <c r="P24" s="78"/>
      <c r="Q24" s="78"/>
      <c r="R24" s="78"/>
      <c r="S24" s="78"/>
      <c r="T24" s="78"/>
      <c r="U24" s="78"/>
      <c r="V24" s="78"/>
      <c r="W24" s="78"/>
      <c r="X24" s="78"/>
      <c r="Y24" s="78"/>
      <c r="Z24" s="78"/>
    </row>
    <row r="25">
      <c r="A25" s="122"/>
      <c r="B25" s="122"/>
      <c r="C25" s="122"/>
      <c r="D25" s="122"/>
      <c r="E25" s="122"/>
      <c r="F25" s="122"/>
      <c r="G25" s="122"/>
      <c r="H25" s="122"/>
      <c r="I25" s="122"/>
      <c r="J25" s="122"/>
      <c r="K25" s="122"/>
      <c r="L25" s="122"/>
      <c r="M25" s="122"/>
      <c r="N25" s="78"/>
      <c r="O25" s="78"/>
      <c r="P25" s="78"/>
      <c r="Q25" s="78"/>
      <c r="R25" s="78"/>
      <c r="S25" s="78"/>
      <c r="T25" s="78"/>
      <c r="U25" s="78"/>
      <c r="V25" s="78"/>
      <c r="W25" s="78"/>
      <c r="X25" s="78"/>
      <c r="Y25" s="78"/>
      <c r="Z25" s="78"/>
    </row>
    <row r="26">
      <c r="A26" s="78"/>
      <c r="B26" s="78"/>
      <c r="C26" s="78"/>
      <c r="D26" s="78"/>
      <c r="E26" s="78"/>
      <c r="F26" s="78"/>
      <c r="G26" s="78"/>
      <c r="H26" s="78"/>
      <c r="I26" s="78"/>
      <c r="J26" s="78"/>
      <c r="K26" s="78"/>
      <c r="L26" s="78"/>
      <c r="M26" s="78"/>
      <c r="N26" s="78"/>
      <c r="O26" s="78"/>
      <c r="P26" s="78"/>
      <c r="Q26" s="78"/>
      <c r="R26" s="78"/>
      <c r="S26" s="78"/>
      <c r="T26" s="78"/>
      <c r="U26" s="78"/>
      <c r="V26" s="78"/>
      <c r="W26" s="78"/>
      <c r="X26" s="78"/>
      <c r="Y26" s="78"/>
      <c r="Z26" s="78"/>
    </row>
    <row r="27">
      <c r="A27" s="78"/>
      <c r="B27" s="78"/>
      <c r="C27" s="78"/>
      <c r="D27" s="78"/>
      <c r="E27" s="78"/>
      <c r="F27" s="78"/>
      <c r="G27" s="78"/>
      <c r="H27" s="78"/>
      <c r="I27" s="78"/>
      <c r="J27" s="78"/>
      <c r="K27" s="78"/>
      <c r="L27" s="78"/>
      <c r="M27" s="78"/>
      <c r="N27" s="78"/>
      <c r="O27" s="78"/>
      <c r="P27" s="78"/>
      <c r="Q27" s="78"/>
      <c r="R27" s="78"/>
      <c r="S27" s="78"/>
      <c r="T27" s="78"/>
      <c r="U27" s="78"/>
      <c r="V27" s="78"/>
      <c r="W27" s="78"/>
      <c r="X27" s="78"/>
      <c r="Y27" s="78"/>
      <c r="Z27" s="78"/>
    </row>
    <row r="28">
      <c r="A28" s="78"/>
      <c r="B28" s="78"/>
      <c r="C28" s="78"/>
      <c r="D28" s="78"/>
      <c r="E28" s="78"/>
      <c r="F28" s="78"/>
      <c r="G28" s="78"/>
      <c r="H28" s="78"/>
      <c r="I28" s="78"/>
      <c r="J28" s="78"/>
      <c r="K28" s="78"/>
      <c r="L28" s="78"/>
      <c r="M28" s="78"/>
      <c r="N28" s="78"/>
      <c r="O28" s="78"/>
      <c r="P28" s="78"/>
      <c r="Q28" s="78"/>
      <c r="R28" s="78"/>
      <c r="S28" s="78"/>
      <c r="T28" s="78"/>
      <c r="U28" s="78"/>
      <c r="V28" s="78"/>
      <c r="W28" s="78"/>
      <c r="X28" s="78"/>
      <c r="Y28" s="78"/>
      <c r="Z28" s="78"/>
    </row>
    <row r="29">
      <c r="A29" s="78"/>
      <c r="B29" s="78"/>
      <c r="C29" s="78"/>
      <c r="D29" s="78"/>
      <c r="E29" s="78"/>
      <c r="F29" s="78"/>
      <c r="G29" s="78"/>
      <c r="H29" s="78"/>
      <c r="I29" s="78"/>
      <c r="J29" s="78"/>
      <c r="K29" s="78"/>
      <c r="L29" s="78"/>
      <c r="M29" s="78"/>
      <c r="N29" s="78"/>
      <c r="O29" s="78"/>
      <c r="P29" s="78"/>
      <c r="Q29" s="78"/>
      <c r="R29" s="78"/>
      <c r="S29" s="78"/>
      <c r="T29" s="78"/>
      <c r="U29" s="78"/>
      <c r="V29" s="78"/>
      <c r="W29" s="78"/>
      <c r="X29" s="78"/>
      <c r="Y29" s="78"/>
      <c r="Z29" s="78"/>
    </row>
    <row r="30">
      <c r="A30" s="78"/>
      <c r="B30" s="78"/>
      <c r="C30" s="78"/>
      <c r="D30" s="78"/>
      <c r="E30" s="78"/>
      <c r="F30" s="78"/>
      <c r="G30" s="78"/>
      <c r="H30" s="78"/>
      <c r="I30" s="78"/>
      <c r="J30" s="78"/>
      <c r="K30" s="78"/>
      <c r="L30" s="78"/>
      <c r="M30" s="78"/>
      <c r="N30" s="78"/>
      <c r="O30" s="78"/>
      <c r="P30" s="78"/>
      <c r="Q30" s="78"/>
      <c r="R30" s="78"/>
      <c r="S30" s="78"/>
      <c r="T30" s="78"/>
      <c r="U30" s="78"/>
      <c r="V30" s="78"/>
      <c r="W30" s="78"/>
      <c r="X30" s="78"/>
      <c r="Y30" s="78"/>
      <c r="Z30" s="78"/>
    </row>
    <row r="31">
      <c r="A31" s="78"/>
      <c r="B31" s="78"/>
      <c r="C31" s="78"/>
      <c r="D31" s="78"/>
      <c r="E31" s="78"/>
      <c r="F31" s="78"/>
      <c r="G31" s="78"/>
      <c r="H31" s="78"/>
      <c r="I31" s="78"/>
      <c r="J31" s="78"/>
      <c r="K31" s="78"/>
      <c r="L31" s="78"/>
      <c r="M31" s="78"/>
      <c r="N31" s="78"/>
      <c r="O31" s="78"/>
      <c r="P31" s="78"/>
      <c r="Q31" s="78"/>
      <c r="R31" s="78"/>
      <c r="S31" s="78"/>
      <c r="T31" s="78"/>
      <c r="U31" s="78"/>
      <c r="V31" s="78"/>
      <c r="W31" s="78"/>
      <c r="X31" s="78"/>
      <c r="Y31" s="78"/>
      <c r="Z31" s="78"/>
    </row>
    <row r="32">
      <c r="A32" s="78"/>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c r="A33" s="78"/>
      <c r="B33" s="78"/>
      <c r="C33" s="78"/>
      <c r="D33" s="78"/>
      <c r="E33" s="78"/>
      <c r="F33" s="78"/>
      <c r="G33" s="78"/>
      <c r="H33" s="78"/>
      <c r="I33" s="78"/>
      <c r="J33" s="78"/>
      <c r="K33" s="78"/>
      <c r="L33" s="78"/>
      <c r="M33" s="78"/>
      <c r="N33" s="78"/>
      <c r="O33" s="78"/>
      <c r="P33" s="78"/>
      <c r="Q33" s="78"/>
      <c r="R33" s="78"/>
      <c r="S33" s="78"/>
      <c r="T33" s="78"/>
      <c r="U33" s="78"/>
      <c r="V33" s="78"/>
      <c r="W33" s="78"/>
      <c r="X33" s="78"/>
      <c r="Y33" s="78"/>
      <c r="Z33" s="78"/>
    </row>
    <row r="34">
      <c r="A34" s="78"/>
      <c r="B34" s="78"/>
      <c r="C34" s="78"/>
      <c r="D34" s="78"/>
      <c r="E34" s="78"/>
      <c r="F34" s="78"/>
      <c r="G34" s="78"/>
      <c r="H34" s="78"/>
      <c r="I34" s="78"/>
      <c r="J34" s="78"/>
      <c r="K34" s="78"/>
      <c r="L34" s="78"/>
      <c r="M34" s="78"/>
      <c r="N34" s="78"/>
      <c r="O34" s="78"/>
      <c r="P34" s="78"/>
      <c r="Q34" s="78"/>
      <c r="R34" s="78"/>
      <c r="S34" s="78"/>
      <c r="T34" s="78"/>
      <c r="U34" s="78"/>
      <c r="V34" s="78"/>
      <c r="W34" s="78"/>
      <c r="X34" s="78"/>
      <c r="Y34" s="78"/>
      <c r="Z34" s="78"/>
    </row>
    <row r="35">
      <c r="A35" s="78"/>
      <c r="B35" s="78"/>
      <c r="C35" s="78"/>
      <c r="D35" s="78"/>
      <c r="E35" s="78"/>
      <c r="F35" s="78"/>
      <c r="G35" s="78"/>
      <c r="H35" s="78"/>
      <c r="I35" s="78"/>
      <c r="J35" s="78"/>
      <c r="K35" s="78"/>
      <c r="L35" s="78"/>
      <c r="M35" s="78"/>
      <c r="N35" s="78"/>
      <c r="O35" s="78"/>
      <c r="P35" s="78"/>
      <c r="Q35" s="78"/>
      <c r="R35" s="78"/>
      <c r="S35" s="78"/>
      <c r="T35" s="78"/>
      <c r="U35" s="78"/>
      <c r="V35" s="78"/>
      <c r="W35" s="78"/>
      <c r="X35" s="78"/>
      <c r="Y35" s="78"/>
      <c r="Z35" s="78"/>
    </row>
    <row r="36">
      <c r="A36" s="78"/>
      <c r="B36" s="78"/>
      <c r="C36" s="78"/>
      <c r="D36" s="78"/>
      <c r="E36" s="78"/>
      <c r="F36" s="78"/>
      <c r="G36" s="78"/>
      <c r="H36" s="78"/>
      <c r="I36" s="78"/>
      <c r="J36" s="78"/>
      <c r="K36" s="78"/>
      <c r="L36" s="78"/>
      <c r="M36" s="78"/>
      <c r="N36" s="78"/>
      <c r="O36" s="78"/>
      <c r="P36" s="78"/>
      <c r="Q36" s="78"/>
      <c r="R36" s="78"/>
      <c r="S36" s="78"/>
      <c r="T36" s="78"/>
      <c r="U36" s="78"/>
      <c r="V36" s="78"/>
      <c r="W36" s="78"/>
      <c r="X36" s="78"/>
      <c r="Y36" s="78"/>
      <c r="Z36" s="78"/>
    </row>
    <row r="37">
      <c r="A37" s="78"/>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c r="A38" s="78"/>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c r="A39" s="78"/>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c r="A40" s="78"/>
      <c r="B40" s="78"/>
      <c r="C40" s="78"/>
      <c r="D40" s="78"/>
      <c r="E40" s="78"/>
      <c r="F40" s="78"/>
      <c r="G40" s="78"/>
      <c r="H40" s="78"/>
      <c r="I40" s="78"/>
      <c r="J40" s="78"/>
      <c r="K40" s="78"/>
      <c r="L40" s="78"/>
      <c r="M40" s="78"/>
      <c r="N40" s="78"/>
      <c r="O40" s="78"/>
      <c r="P40" s="78"/>
      <c r="Q40" s="78"/>
      <c r="R40" s="78"/>
      <c r="S40" s="78"/>
      <c r="T40" s="78"/>
      <c r="U40" s="78"/>
      <c r="V40" s="78"/>
      <c r="W40" s="78"/>
      <c r="X40" s="78"/>
      <c r="Y40" s="78"/>
      <c r="Z40" s="78"/>
    </row>
    <row r="41">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c r="A44" s="78"/>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c r="A45" s="78"/>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mergeCells count="3">
    <mergeCell ref="B2:E2"/>
    <mergeCell ref="B3:E3"/>
    <mergeCell ref="B4:E4"/>
  </mergeCells>
  <dataValidations>
    <dataValidation type="list" allowBlank="1" showInputMessage="1" showErrorMessage="1" prompt="Nhấp và nhập một giá trị từ danh sách các mục" sqref="E1 E7:E10">
      <formula1>"Pass,Fail,Untesed,N/A"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c r="B1" s="37" t="s">
        <v>202</v>
      </c>
    </row>
    <row r="2">
      <c r="A2" s="136"/>
      <c r="B2" s="136"/>
      <c r="C2" s="8"/>
      <c r="D2" s="8"/>
      <c r="E2" s="8"/>
      <c r="F2" s="8"/>
      <c r="G2" s="8"/>
      <c r="H2" s="8"/>
    </row>
    <row r="3">
      <c r="A3" s="8"/>
      <c r="B3" s="137" t="s">
        <v>2</v>
      </c>
      <c r="C3" s="138" t="s">
        <v>203</v>
      </c>
      <c r="D3" s="4"/>
      <c r="E3" s="139" t="s">
        <v>4</v>
      </c>
      <c r="F3" s="4"/>
      <c r="G3" s="140"/>
      <c r="H3" s="141"/>
    </row>
    <row r="4">
      <c r="A4" s="8"/>
      <c r="B4" s="137" t="s">
        <v>6</v>
      </c>
      <c r="C4" s="138" t="s">
        <v>204</v>
      </c>
      <c r="D4" s="4"/>
      <c r="E4" s="139" t="s">
        <v>8</v>
      </c>
      <c r="F4" s="4"/>
      <c r="G4" s="142"/>
      <c r="H4" s="143"/>
    </row>
    <row r="5">
      <c r="A5" s="8"/>
      <c r="B5" s="144" t="s">
        <v>9</v>
      </c>
      <c r="C5" s="138" t="s">
        <v>205</v>
      </c>
      <c r="D5" s="4"/>
      <c r="E5" s="139" t="s">
        <v>11</v>
      </c>
      <c r="F5" s="4"/>
      <c r="G5" s="142"/>
      <c r="H5" s="145" t="s">
        <v>206</v>
      </c>
    </row>
    <row r="6">
      <c r="A6" s="136"/>
      <c r="B6" s="144" t="s">
        <v>207</v>
      </c>
      <c r="C6" s="146" t="s">
        <v>208</v>
      </c>
      <c r="D6" s="3"/>
      <c r="E6" s="3"/>
      <c r="F6" s="3"/>
      <c r="G6" s="3"/>
      <c r="H6" s="4"/>
    </row>
    <row r="7">
      <c r="A7" s="136"/>
      <c r="B7" s="23"/>
      <c r="C7" s="147"/>
      <c r="D7" s="8"/>
      <c r="E7" s="8"/>
      <c r="F7" s="8"/>
      <c r="G7" s="8"/>
      <c r="H7" s="8"/>
    </row>
    <row r="8">
      <c r="A8" s="8"/>
      <c r="B8" s="23"/>
      <c r="C8" s="147"/>
      <c r="D8" s="8"/>
      <c r="E8" s="8"/>
      <c r="F8" s="8"/>
      <c r="G8" s="8"/>
      <c r="H8" s="8"/>
    </row>
    <row r="9">
      <c r="A9" s="8"/>
      <c r="B9" s="8"/>
      <c r="C9" s="8"/>
      <c r="D9" s="8"/>
      <c r="E9" s="8"/>
      <c r="F9" s="8"/>
      <c r="G9" s="8"/>
      <c r="H9" s="8"/>
    </row>
    <row r="10">
      <c r="A10" s="148"/>
      <c r="B10" s="149" t="s">
        <v>28</v>
      </c>
      <c r="C10" s="149" t="s">
        <v>209</v>
      </c>
      <c r="D10" s="150" t="s">
        <v>53</v>
      </c>
      <c r="E10" s="149" t="s">
        <v>54</v>
      </c>
      <c r="F10" s="149" t="s">
        <v>55</v>
      </c>
      <c r="G10" s="149" t="s">
        <v>56</v>
      </c>
      <c r="H10" s="151" t="s">
        <v>210</v>
      </c>
    </row>
    <row r="11">
      <c r="A11" s="8"/>
      <c r="B11" s="152">
        <v>1.0</v>
      </c>
      <c r="C11" s="117" t="s">
        <v>34</v>
      </c>
      <c r="D11" s="152">
        <v>2.0</v>
      </c>
      <c r="E11" s="152">
        <v>6.0</v>
      </c>
      <c r="F11" s="152">
        <v>0.0</v>
      </c>
      <c r="G11" s="152">
        <v>0.0</v>
      </c>
      <c r="H11" s="152">
        <v>8.0</v>
      </c>
    </row>
    <row r="12">
      <c r="A12" s="8"/>
      <c r="B12" s="152">
        <v>2.0</v>
      </c>
      <c r="C12" s="117" t="s">
        <v>38</v>
      </c>
      <c r="D12" s="152">
        <v>5.0</v>
      </c>
      <c r="E12" s="152">
        <v>4.0</v>
      </c>
      <c r="F12" s="152">
        <v>0.0</v>
      </c>
      <c r="G12" s="152">
        <v>0.0</v>
      </c>
      <c r="H12" s="152">
        <v>9.0</v>
      </c>
    </row>
    <row r="13">
      <c r="A13" s="8"/>
      <c r="B13" s="152">
        <v>3.0</v>
      </c>
      <c r="C13" s="117" t="s">
        <v>42</v>
      </c>
      <c r="D13" s="152">
        <v>8.0</v>
      </c>
      <c r="E13" s="152">
        <v>4.0</v>
      </c>
      <c r="F13" s="152">
        <v>0.0</v>
      </c>
      <c r="G13" s="152">
        <v>0.0</v>
      </c>
      <c r="H13" s="152">
        <v>12.0</v>
      </c>
    </row>
    <row r="14">
      <c r="A14" s="8"/>
      <c r="B14" s="152">
        <v>4.0</v>
      </c>
      <c r="C14" s="117" t="s">
        <v>46</v>
      </c>
      <c r="D14" s="152">
        <v>4.0</v>
      </c>
      <c r="E14" s="152">
        <v>1.0</v>
      </c>
      <c r="F14" s="152">
        <v>0.0</v>
      </c>
      <c r="G14" s="152">
        <v>0.0</v>
      </c>
      <c r="H14" s="152">
        <v>5.0</v>
      </c>
    </row>
    <row r="15">
      <c r="A15" s="8"/>
      <c r="B15" s="152">
        <v>5.0</v>
      </c>
      <c r="C15" s="117" t="s">
        <v>211</v>
      </c>
      <c r="D15" s="152">
        <v>7.0</v>
      </c>
      <c r="E15" s="152">
        <v>0.0</v>
      </c>
      <c r="F15" s="152">
        <v>0.0</v>
      </c>
      <c r="G15" s="152">
        <v>0.0</v>
      </c>
      <c r="H15" s="152">
        <v>7.0</v>
      </c>
    </row>
    <row r="16">
      <c r="A16" s="8"/>
      <c r="B16" s="152">
        <v>6.0</v>
      </c>
      <c r="C16" s="117" t="s">
        <v>212</v>
      </c>
      <c r="D16" s="152">
        <v>5.0</v>
      </c>
      <c r="E16" s="152">
        <v>1.0</v>
      </c>
      <c r="F16" s="152">
        <v>0.0</v>
      </c>
      <c r="G16" s="152">
        <v>0.0</v>
      </c>
      <c r="H16" s="152">
        <v>6.0</v>
      </c>
    </row>
    <row r="17">
      <c r="A17" s="8"/>
      <c r="B17" s="153"/>
      <c r="C17" s="153"/>
      <c r="D17" s="153"/>
      <c r="E17" s="153"/>
      <c r="F17" s="153"/>
      <c r="G17" s="153"/>
      <c r="H17" s="153"/>
    </row>
    <row r="18">
      <c r="A18" s="8"/>
      <c r="B18" s="153"/>
      <c r="C18" s="153"/>
      <c r="D18" s="153"/>
      <c r="E18" s="153"/>
      <c r="F18" s="153"/>
      <c r="G18" s="153"/>
      <c r="H18" s="153"/>
    </row>
    <row r="19">
      <c r="A19" s="8"/>
      <c r="B19" s="154"/>
      <c r="C19" s="8"/>
      <c r="D19" s="154"/>
      <c r="E19" s="154"/>
      <c r="F19" s="154"/>
      <c r="G19" s="154"/>
      <c r="H19" s="155"/>
    </row>
    <row r="20">
      <c r="A20" s="8"/>
      <c r="B20" s="156"/>
      <c r="C20" s="157" t="s">
        <v>213</v>
      </c>
      <c r="D20" s="158">
        <v>31.0</v>
      </c>
      <c r="E20" s="158">
        <v>16.0</v>
      </c>
      <c r="F20" s="158">
        <v>0.0</v>
      </c>
      <c r="G20" s="158">
        <v>0.0</v>
      </c>
      <c r="H20" s="159">
        <v>47.0</v>
      </c>
    </row>
    <row r="21">
      <c r="A21" s="8"/>
      <c r="B21" s="154"/>
      <c r="C21" s="8"/>
      <c r="D21" s="154"/>
      <c r="E21" s="154"/>
      <c r="F21" s="154"/>
      <c r="G21" s="154"/>
      <c r="H21" s="154"/>
    </row>
    <row r="22">
      <c r="A22" s="8"/>
      <c r="B22" s="8"/>
      <c r="C22" s="160" t="s">
        <v>214</v>
      </c>
      <c r="D22" s="8"/>
      <c r="E22" s="161" t="s">
        <v>215</v>
      </c>
      <c r="F22" s="162" t="s">
        <v>216</v>
      </c>
      <c r="G22" s="8"/>
      <c r="H22" s="61"/>
    </row>
    <row r="23">
      <c r="A23" s="8"/>
      <c r="B23" s="8"/>
      <c r="C23" s="160" t="s">
        <v>217</v>
      </c>
      <c r="E23" s="161" t="s">
        <v>218</v>
      </c>
      <c r="F23" s="162" t="s">
        <v>216</v>
      </c>
      <c r="G23" s="8"/>
      <c r="H23" s="61"/>
    </row>
  </sheetData>
  <mergeCells count="9">
    <mergeCell ref="C5:D5"/>
    <mergeCell ref="C23:D23"/>
    <mergeCell ref="B1:H1"/>
    <mergeCell ref="C3:D3"/>
    <mergeCell ref="E3:F3"/>
    <mergeCell ref="C4:D4"/>
    <mergeCell ref="E4:F4"/>
    <mergeCell ref="E5:F5"/>
    <mergeCell ref="C6:H6"/>
  </mergeCells>
  <drawing r:id="rId1"/>
</worksheet>
</file>